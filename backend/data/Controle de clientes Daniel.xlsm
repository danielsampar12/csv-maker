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Samsung\Desktop\"/>
    </mc:Choice>
  </mc:AlternateContent>
  <xr:revisionPtr revIDLastSave="0" documentId="13_ncr:1_{FD49E34B-3879-4564-AB38-832C9F0910F2}" xr6:coauthVersionLast="44" xr6:coauthVersionMax="44" xr10:uidLastSave="{00000000-0000-0000-0000-000000000000}"/>
  <bookViews>
    <workbookView xWindow="-108" yWindow="-108" windowWidth="23256" windowHeight="12576" activeTab="1" xr2:uid="{CDB4E915-A69B-4A49-A80E-EA9361FCC27B}"/>
  </bookViews>
  <sheets>
    <sheet name="Usuarios e Senhas" sheetId="1" r:id="rId1"/>
    <sheet name="BANCODEDADOS" sheetId="2" r:id="rId2"/>
    <sheet name="Planilha1" sheetId="3" r:id="rId3"/>
  </sheets>
  <functionGroups builtInGroupCount="19"/>
  <definedNames>
    <definedName name="_xlnm._FilterDatabase" localSheetId="1" hidden="1">BANCODEDADOS!$A$1:$AM$97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" i="3" l="1"/>
  <c r="D3" i="3" s="1"/>
  <c r="E3" i="3" s="1"/>
  <c r="C4" i="3"/>
  <c r="D4" i="3" s="1"/>
  <c r="E4" i="3" s="1"/>
  <c r="C5" i="3"/>
  <c r="D5" i="3" s="1"/>
  <c r="E5" i="3" s="1"/>
  <c r="C6" i="3"/>
  <c r="D6" i="3" s="1"/>
  <c r="E6" i="3" s="1"/>
  <c r="C7" i="3"/>
  <c r="D7" i="3" s="1"/>
  <c r="E7" i="3" s="1"/>
  <c r="C2" i="3"/>
  <c r="D2" i="3" s="1"/>
  <c r="E2" i="3" s="1"/>
  <c r="C1" i="3" l="1"/>
  <c r="D1" i="3" s="1"/>
  <c r="E1" i="3" s="1"/>
</calcChain>
</file>

<file path=xl/sharedStrings.xml><?xml version="1.0" encoding="utf-8"?>
<sst xmlns="http://schemas.openxmlformats.org/spreadsheetml/2006/main" count="6076" uniqueCount="1430">
  <si>
    <t>Usuario</t>
  </si>
  <si>
    <t>senha</t>
  </si>
  <si>
    <t>Daniel</t>
  </si>
  <si>
    <t>Murilo</t>
  </si>
  <si>
    <t>Priscila</t>
  </si>
  <si>
    <t>Ronaldo</t>
  </si>
  <si>
    <t>CNPJ</t>
  </si>
  <si>
    <t>Valide</t>
  </si>
  <si>
    <t>Representante</t>
  </si>
  <si>
    <t>Nome da Empresa</t>
  </si>
  <si>
    <t>Responsavel</t>
  </si>
  <si>
    <t>Utiliza</t>
  </si>
  <si>
    <t>Quant. De Consulta</t>
  </si>
  <si>
    <t>Valor do VCM que Utiliza</t>
  </si>
  <si>
    <t>Valor un. Consulta</t>
  </si>
  <si>
    <t>Utiliza Negativação</t>
  </si>
  <si>
    <t>Valor Gasto com Negativação</t>
  </si>
  <si>
    <t>Valor Pago por Negativação</t>
  </si>
  <si>
    <t>Negativa Com</t>
  </si>
  <si>
    <t>DDD1</t>
  </si>
  <si>
    <t>Nuemro1</t>
  </si>
  <si>
    <t>Ramal1</t>
  </si>
  <si>
    <t>E-mail1</t>
  </si>
  <si>
    <t>DDD2</t>
  </si>
  <si>
    <t>Numero2</t>
  </si>
  <si>
    <t>Ramal2</t>
  </si>
  <si>
    <t>E-mail2</t>
  </si>
  <si>
    <t>Observação</t>
  </si>
  <si>
    <t>Localizar CNPJ</t>
  </si>
  <si>
    <t>VCM Ofertado</t>
  </si>
  <si>
    <t>lages1</t>
  </si>
  <si>
    <t>lages2</t>
  </si>
  <si>
    <t>lages3</t>
  </si>
  <si>
    <t>lages4</t>
  </si>
  <si>
    <t>lages5</t>
  </si>
  <si>
    <t>http://receitaws.com.br/v1/cnpj/</t>
  </si>
  <si>
    <t>09113666000120</t>
  </si>
  <si>
    <t>Data do contato</t>
  </si>
  <si>
    <t>hora</t>
  </si>
  <si>
    <t>Documento que Consulta</t>
  </si>
  <si>
    <t>% de CNPJ</t>
  </si>
  <si>
    <t>Negocioação</t>
  </si>
  <si>
    <t>ANALISE DE EXCEÇÃO</t>
  </si>
  <si>
    <t>DANIEL</t>
  </si>
  <si>
    <t/>
  </si>
  <si>
    <t>VENDA LIBERADA</t>
  </si>
  <si>
    <t>CDL</t>
  </si>
  <si>
    <t>SPC BRASIL</t>
  </si>
  <si>
    <t>05437959000102</t>
  </si>
  <si>
    <t>RPV DA AMAZONIA LTDA</t>
  </si>
  <si>
    <t>NELMA</t>
  </si>
  <si>
    <t>BOA VISTA</t>
  </si>
  <si>
    <t>92-32116200</t>
  </si>
  <si>
    <t>PJ e PF</t>
  </si>
  <si>
    <t>MORNO</t>
  </si>
  <si>
    <t>01506709000126</t>
  </si>
  <si>
    <t>IMI HYDRONIC ENGENHARIA LTDA</t>
  </si>
  <si>
    <t>11-5589-0638</t>
  </si>
  <si>
    <t>marcia.aoki@imi-hydronic.com</t>
  </si>
  <si>
    <t>Falei com Felipe, e informou que o grupo é internacional e a Marcia que é a gerente geral esta em viagem vai saber dar mais informações._x000D_
_x000D_
Mandei e-mail perguntando se é com ela que trato esses assuntos.</t>
  </si>
  <si>
    <t>13204590000116</t>
  </si>
  <si>
    <t>TUBOSIDER TUBOS CONEXOES LTDA</t>
  </si>
  <si>
    <t>KAMILLA</t>
  </si>
  <si>
    <t>11-4393-0323</t>
  </si>
  <si>
    <t>kamilla@newpiper.com.br</t>
  </si>
  <si>
    <t>Liguei e pedi para falar com o responsavel me informaram que seria a Kamilla e ela não estava na empresa, e a melhor forma de contato com ela seria e-mail._x000D_
_x000D_
e-mail enviado solicitando atendimento.</t>
  </si>
  <si>
    <t>FRIO</t>
  </si>
  <si>
    <t>08330380000134</t>
  </si>
  <si>
    <t>V GOSTA PRESENTES LTDA</t>
  </si>
  <si>
    <t>KELLY</t>
  </si>
  <si>
    <t>11-2904-8502</t>
  </si>
  <si>
    <t>financeiro@wallart.com.br</t>
  </si>
  <si>
    <t>07063218000134</t>
  </si>
  <si>
    <t>CARLOS ALBERTO TREVIZAN</t>
  </si>
  <si>
    <t>DENISE</t>
  </si>
  <si>
    <t>488</t>
  </si>
  <si>
    <t>12455376000170</t>
  </si>
  <si>
    <t>SANSUL ALIMENTOS LTDA</t>
  </si>
  <si>
    <t>800</t>
  </si>
  <si>
    <t>03767778000119</t>
  </si>
  <si>
    <t>ROMANA FESTAS LTDA</t>
  </si>
  <si>
    <t>MARLI</t>
  </si>
  <si>
    <t>0</t>
  </si>
  <si>
    <t>31-3491-2200</t>
  </si>
  <si>
    <t>felei com a Marly e ela falou que o diretor não vai querer ter contrato de jeito nenhum com a Serasa , estão com um processo contra um distribuidor que segundo ela esta negativando varias empresas em MG, ela entrou com uma ação para retirar está negativação.</t>
  </si>
  <si>
    <t>15-3273-1777</t>
  </si>
  <si>
    <t>04648067000198</t>
  </si>
  <si>
    <t>VALE SUL DISTRIBUIDORA DE PRODUTOS ALIMENTICIOS LT</t>
  </si>
  <si>
    <t>05899867000144</t>
  </si>
  <si>
    <t>SM PLASTICOS LTDA EPP</t>
  </si>
  <si>
    <t>4000</t>
  </si>
  <si>
    <t>11-5687-1168</t>
  </si>
  <si>
    <t>10682266000115</t>
  </si>
  <si>
    <t>YOSS COMERCIAL IMPORTADORA E EXPORTADORA EIRELI</t>
  </si>
  <si>
    <t>REGILAINE E MONICA</t>
  </si>
  <si>
    <t>100</t>
  </si>
  <si>
    <t>R$ 1.500,00</t>
  </si>
  <si>
    <t>608</t>
  </si>
  <si>
    <t>11-3228-7866</t>
  </si>
  <si>
    <t>regilaine@yoshidarep.com.br</t>
  </si>
  <si>
    <t>MUITO QUENTE</t>
  </si>
  <si>
    <t>62236146000198</t>
  </si>
  <si>
    <t>YACIMA ATACADISTA ROUPAS LTDA</t>
  </si>
  <si>
    <t>11-2797-9422</t>
  </si>
  <si>
    <t>13548008000139</t>
  </si>
  <si>
    <t>YTU BIKE PARTS LTDA EPP</t>
  </si>
  <si>
    <t>11-4024-7528</t>
  </si>
  <si>
    <t>10449369000130</t>
  </si>
  <si>
    <t>VOBEL DISTRIBUIDORA LTDA ME</t>
  </si>
  <si>
    <t>15-3259-1599</t>
  </si>
  <si>
    <t>renata@vobel.com.br</t>
  </si>
  <si>
    <t>Não possou muitos detalhes, falou que a pouco tempo estava negociando com a Serasa mas dai descidiu não mudar para não ter que passar por toda a migração de sistema._x000D_
_x000D_
Mandei e-mail com os meus contato caso futuramente precise.</t>
  </si>
  <si>
    <t>61549978000100</t>
  </si>
  <si>
    <t>PROD ELETRICOS EDSON LTDA</t>
  </si>
  <si>
    <t>FRANCISCO</t>
  </si>
  <si>
    <t>60</t>
  </si>
  <si>
    <t>11-3313-4455</t>
  </si>
  <si>
    <t>administrativo@peesa.com.br</t>
  </si>
  <si>
    <t>80</t>
  </si>
  <si>
    <t>15-3272-1072</t>
  </si>
  <si>
    <t>Data Ultimo Contato</t>
  </si>
  <si>
    <t>Quantidade que negativa</t>
  </si>
  <si>
    <t>Doc. Negativado</t>
  </si>
  <si>
    <t>Porcentagem de CNPJ que Negativa</t>
  </si>
  <si>
    <t>Data para retorno</t>
  </si>
  <si>
    <t>DISTRIBUIDOR</t>
  </si>
  <si>
    <t>30</t>
  </si>
  <si>
    <t>208</t>
  </si>
  <si>
    <t>10</t>
  </si>
  <si>
    <t>764</t>
  </si>
  <si>
    <t>11325330000173</t>
  </si>
  <si>
    <t>REDE STANG | STANG DISTRIBUIDORA DE PETROLEO LTDA</t>
  </si>
  <si>
    <t>RITA</t>
  </si>
  <si>
    <t>R$ 800,00</t>
  </si>
  <si>
    <t>NÃO</t>
  </si>
  <si>
    <t>46-3524-6318</t>
  </si>
  <si>
    <t>financeiro04@stangdistribuidora.com.br</t>
  </si>
  <si>
    <t>QUENTE</t>
  </si>
  <si>
    <t>15626307</t>
  </si>
  <si>
    <t>ADRIANO FUCK ME</t>
  </si>
  <si>
    <t>TATIANE</t>
  </si>
  <si>
    <t>47-3396-8158</t>
  </si>
  <si>
    <t>03296909000127</t>
  </si>
  <si>
    <t>A CASA DO PEIXE COMERCIO DE FRUTOS DO MAR EIRELI EPP</t>
  </si>
  <si>
    <t>EVANDRO</t>
  </si>
  <si>
    <t>47-3329-2600</t>
  </si>
  <si>
    <t>1199732</t>
  </si>
  <si>
    <t>AGUA DURA LTDA EPP</t>
  </si>
  <si>
    <t>ADRIANA</t>
  </si>
  <si>
    <t>47-3322-0065</t>
  </si>
  <si>
    <t>4684483</t>
  </si>
  <si>
    <t>ALI S BIKE COMERCIO DE PECAS E BICICLETAS LTDA ME</t>
  </si>
  <si>
    <t>ALI</t>
  </si>
  <si>
    <t>47-3350-3830</t>
  </si>
  <si>
    <t>Estava muito ocupado e pediu para ligar no outro dia as 10:00._x000D_
_x000D_
Segunda ligação efetuada, não uitliza nenhum tipo de serviço de consulta, quando faz parcelamento utiliza a viacred, não tem necessidade de ter o serviço no momento, pediu para mandar um e-mail para ele ficar com o contato caso futuramente precise.</t>
  </si>
  <si>
    <t>125239</t>
  </si>
  <si>
    <t>BLULABEL ADESIVOS LTDA ME</t>
  </si>
  <si>
    <t>FERNANDo</t>
  </si>
  <si>
    <t>47-3037-5450</t>
  </si>
  <si>
    <t>financeiro@blulabel.com.br</t>
  </si>
  <si>
    <t>Mandar uma proposta sem compromisso porque no momento não tem interesse de mudar estão sendo bem atendidos /ac Fernando/30 consultas mês/ completa para CNPJ._x000D_
_x000D_
E-mail enviado.</t>
  </si>
  <si>
    <t>NÃO ESTÁ VALIDO</t>
  </si>
  <si>
    <t>STANG DISTRIBUIDORA DE PETROLEO LTDA</t>
  </si>
  <si>
    <t>40</t>
  </si>
  <si>
    <t>46-99926-1390</t>
  </si>
  <si>
    <t>2200936</t>
  </si>
  <si>
    <t>COMERCIO DE MADEIRAS BRESSANINI LTDA EPP</t>
  </si>
  <si>
    <t>JOANA</t>
  </si>
  <si>
    <t>R$ 250,00</t>
  </si>
  <si>
    <t>47-3337-2899</t>
  </si>
  <si>
    <t>financeiro@brassaninimadeiras.com.br</t>
  </si>
  <si>
    <t>90</t>
  </si>
  <si>
    <t>04428204000189</t>
  </si>
  <si>
    <t>SUPERBID WEBSERVICES LTDA</t>
  </si>
  <si>
    <t>11-4950-9400</t>
  </si>
  <si>
    <t>jiri@sbwebservices.net</t>
  </si>
  <si>
    <t>anderson.gimenes@sbwebservices.net</t>
  </si>
  <si>
    <t>4207170000100</t>
  </si>
  <si>
    <t>SERV GELA COMERCIO DE BRINDES EIRELI</t>
  </si>
  <si>
    <t>TAIARA OU TALINE</t>
  </si>
  <si>
    <t>1200</t>
  </si>
  <si>
    <t>3702</t>
  </si>
  <si>
    <t>(11)3933-2530</t>
  </si>
  <si>
    <t>vera@servgela.com.br</t>
  </si>
  <si>
    <t>03436073000119</t>
  </si>
  <si>
    <t>VANRAL COMERCIAL LTDA</t>
  </si>
  <si>
    <t>ALICE</t>
  </si>
  <si>
    <t>11-3879-7979</t>
  </si>
  <si>
    <t>Não tem interesse em fazer contrato com a Serasa teve muito problemas teve que abrir um processo para poder resolver os problemas.</t>
  </si>
  <si>
    <t>04643369000173</t>
  </si>
  <si>
    <t>SERRAMAQ COM SERV LTDA-EPP</t>
  </si>
  <si>
    <t>LUCIANO</t>
  </si>
  <si>
    <t>fechou contrato com a Serasa ano passado mas voltou para a Boa Vista achou a Serasa muito dificil de mexer e ninguem da equipe gostou, segundo Luciano a Serasa não atende as necessidades da empresa.</t>
  </si>
  <si>
    <t>SOFIA COMERCIO DE ALIMENTOS LTDA</t>
  </si>
  <si>
    <t>R$ 600,00</t>
  </si>
  <si>
    <t>R$ 10,00</t>
  </si>
  <si>
    <t>54-3213-2017</t>
  </si>
  <si>
    <t>nicole@sofiapet.com.br</t>
  </si>
  <si>
    <t>95</t>
  </si>
  <si>
    <t>SERASA</t>
  </si>
  <si>
    <t>5</t>
  </si>
  <si>
    <t>15</t>
  </si>
  <si>
    <t>120</t>
  </si>
  <si>
    <t>CLAUDIA</t>
  </si>
  <si>
    <t>50</t>
  </si>
  <si>
    <t>04608957000176</t>
  </si>
  <si>
    <t>SANTISTA BUSINESS COM MAT ELETRICOS LTDA</t>
  </si>
  <si>
    <t>CARLOS ALBERTO</t>
  </si>
  <si>
    <t>NÃO QUIS INFORMAR</t>
  </si>
  <si>
    <t>3463-7994</t>
  </si>
  <si>
    <t>carlosalberto@vitorbuono.com.br</t>
  </si>
  <si>
    <t>Enviar e-mail solicitando atendeimento o resposnsavel não fica na empresa.</t>
  </si>
  <si>
    <t>43635523000540</t>
  </si>
  <si>
    <t>TORRES IND COM ETIQUETAS ADESIVOS LTDA</t>
  </si>
  <si>
    <t>IRIS</t>
  </si>
  <si>
    <t>RONALDO</t>
  </si>
  <si>
    <t>17541601000104</t>
  </si>
  <si>
    <t>PROJETO SHALON PISCICULTURA LTDA EPP</t>
  </si>
  <si>
    <t>VANESSA</t>
  </si>
  <si>
    <t>2693-5141</t>
  </si>
  <si>
    <t>1</t>
  </si>
  <si>
    <t>05133672000199</t>
  </si>
  <si>
    <t>TEXFIBER ISOLANTES TERMICOS LTDA</t>
  </si>
  <si>
    <t>SIMONE</t>
  </si>
  <si>
    <t>3451-8586</t>
  </si>
  <si>
    <t>Utiliza o serviço de consulta do CDL porque ganha desconto no plano de saude, usa bem esporadicamente.</t>
  </si>
  <si>
    <t>05133672000197</t>
  </si>
  <si>
    <t>65788549000138</t>
  </si>
  <si>
    <t>TRANSBOR COM PROD INDL LTDA</t>
  </si>
  <si>
    <t>ALINE</t>
  </si>
  <si>
    <t>2641-8000</t>
  </si>
  <si>
    <t>Aline falou que faz uns 3 meses que que fechou contrato com a SPC Brasil, e por enquanto tem fidelidade/ contato 21/05/2019.</t>
  </si>
  <si>
    <t>00376172000164</t>
  </si>
  <si>
    <t>VETOR DISTR LTDA</t>
  </si>
  <si>
    <t>arggc@yahoo.com.br</t>
  </si>
  <si>
    <t>ANDERSON</t>
  </si>
  <si>
    <t>9752</t>
  </si>
  <si>
    <t>08877135000141</t>
  </si>
  <si>
    <t>VOLLO BRASIL ARTIGOS ESPORTIVOS EIRELI</t>
  </si>
  <si>
    <t>CARMEM</t>
  </si>
  <si>
    <t>11-3771-3333</t>
  </si>
  <si>
    <t>carmem.ferreira@vollo.com.br</t>
  </si>
  <si>
    <t>Status</t>
  </si>
  <si>
    <t>Dias</t>
  </si>
  <si>
    <t>E-mail enviado dia 03/04/2019, cliente retornou interessada em fazer consultas via string, utiliza em torno de R$800,00 em consulta com distribuidor._x000D_
_x000D_
_x000D_
Cliente TOP PME, nao quer atendimento em outro CNPJ.</t>
  </si>
  <si>
    <t>DIEGO</t>
  </si>
  <si>
    <t>48-3263-5754</t>
  </si>
  <si>
    <t>Falei com Luciana e não sabia falar o valor que ests gastando com a Boa Vista, pediu para eu mandar e-mail para o responsavel solicitando._x000D_
_x000D_
Mandado e-mail e ainda sem resposta do Francisco</t>
  </si>
  <si>
    <t>EM NEGOCIAÇÃO</t>
  </si>
  <si>
    <t>62745609000147</t>
  </si>
  <si>
    <t>PLASTEX BRASIL INDÚSTRIA COMÉRCIO</t>
  </si>
  <si>
    <t>FERNANDA</t>
  </si>
  <si>
    <t>180</t>
  </si>
  <si>
    <t>R$ 1.276,00</t>
  </si>
  <si>
    <t>R$ 7,09</t>
  </si>
  <si>
    <t>12-3978-2248</t>
  </si>
  <si>
    <t>fernanda@plastic.com.br</t>
  </si>
  <si>
    <t>04/06/2019</t>
  </si>
  <si>
    <t>65585242000130</t>
  </si>
  <si>
    <t>WORLD AIR COM REPRES LTDA</t>
  </si>
  <si>
    <t>JANAINA</t>
  </si>
  <si>
    <t>11-3534-6520</t>
  </si>
  <si>
    <t>falei com a  resposnsavel e ela informou que ja utiliza Serasa através de um outro CNPJ o nome da empresa que ela utiliza é ALUMIVAS IND. E COM. DE ARTEFATOS DE METAL LTDA.</t>
  </si>
  <si>
    <t>VENDA PERDIDA</t>
  </si>
  <si>
    <t>05694291000189</t>
  </si>
  <si>
    <t>VERIN COM EQUIPS CONTRA INCENCIO LTDA EPP</t>
  </si>
  <si>
    <t>LUIS</t>
  </si>
  <si>
    <t>11-2967-6842</t>
  </si>
  <si>
    <t>luislagoa@verin.com.br</t>
  </si>
  <si>
    <t>18469615000127</t>
  </si>
  <si>
    <t>REV SUMARE COMERCIO E IMPORTACAO DE MARMORES E GRA</t>
  </si>
  <si>
    <t>MARILIA</t>
  </si>
  <si>
    <t>04876369000113</t>
  </si>
  <si>
    <t>POLUS CONECTORES ELETRICOS LTDA-EPP</t>
  </si>
  <si>
    <t>ELISEU</t>
  </si>
  <si>
    <t>11-3851-4277</t>
  </si>
  <si>
    <t>falou que Serasa não tem tanta informação quanto a Boa Vista não quis nem fazer teste ou comparação porque sabe qua a Boa Vista é melhor.</t>
  </si>
  <si>
    <t>17632546000168</t>
  </si>
  <si>
    <t>SEGBIO COMERCIO IMPORTACAO E REPRESENTACAO LTDA</t>
  </si>
  <si>
    <t>LUCIANE</t>
  </si>
  <si>
    <t>20</t>
  </si>
  <si>
    <t>19-2517-2525</t>
  </si>
  <si>
    <t>financeiro@segbio.com.br</t>
  </si>
  <si>
    <t>02018296000284</t>
  </si>
  <si>
    <t>SO OCULOS COM IMP EXP LTDA</t>
  </si>
  <si>
    <t>RICARDO</t>
  </si>
  <si>
    <t>400</t>
  </si>
  <si>
    <t>11-26024143</t>
  </si>
  <si>
    <t>ricardo@semahospital.com.br</t>
  </si>
  <si>
    <t>Falou que utiliza só SPC e por enquanto não tem interesse em utilizar Serasa é um cara bem desinteressado.</t>
  </si>
  <si>
    <t>19-3858-5969</t>
  </si>
  <si>
    <t>financeiro@revsumare.com.br</t>
  </si>
  <si>
    <t>68854025000196</t>
  </si>
  <si>
    <t>PORTOFINO REPRES COM INTERNACIONAL LTDA</t>
  </si>
  <si>
    <t>EDUARDO</t>
  </si>
  <si>
    <t>11-3898-3232</t>
  </si>
  <si>
    <t>05/06/2019</t>
  </si>
  <si>
    <t>PROCOL IND COM LTDA</t>
  </si>
  <si>
    <t>SILVANO</t>
  </si>
  <si>
    <t>11-3662-3305</t>
  </si>
  <si>
    <t>07085824000150</t>
  </si>
  <si>
    <t>RF COM CABO TELECOMUNI LTDA</t>
  </si>
  <si>
    <t>MARCIA</t>
  </si>
  <si>
    <t>11-2062-6799</t>
  </si>
  <si>
    <t>00822602000124</t>
  </si>
  <si>
    <t>PLOTAG SISTEMAS E SUPRIMENTOS LTDA ME</t>
  </si>
  <si>
    <t>MONICA</t>
  </si>
  <si>
    <t>11-3339-6824</t>
  </si>
  <si>
    <t>19221895000112</t>
  </si>
  <si>
    <t>PPS IMPORTACAO E COMERCIO DE BEBIDAS E ALIMENTOS L</t>
  </si>
  <si>
    <t>DUARTE</t>
  </si>
  <si>
    <t>11-3554-2541</t>
  </si>
  <si>
    <t>controle2@ppsimportadora.com.br</t>
  </si>
  <si>
    <t>43207281000160</t>
  </si>
  <si>
    <t>SUL IMPORTADORA DE ROLAMENTOS LTDA</t>
  </si>
  <si>
    <t>ALESSANDRO</t>
  </si>
  <si>
    <t>11-2823-2727</t>
  </si>
  <si>
    <t>12586637000190</t>
  </si>
  <si>
    <t>SORAIA DISTRIBUIDORA DE DOCES LTDA EPP</t>
  </si>
  <si>
    <t>KELY</t>
  </si>
  <si>
    <t>11-2943-2599</t>
  </si>
  <si>
    <t>administrativo@soraiadistribuidora.com</t>
  </si>
  <si>
    <t>54266523000103</t>
  </si>
  <si>
    <t>TIDLAND INDL DO BRASIL LTDA</t>
  </si>
  <si>
    <t>11-3948-1881</t>
  </si>
  <si>
    <t>não tem interesse em ter contrato com a Serasa falou que não aguenta as ligações da Serasa ligam todos os dias de manha e a tarde.</t>
  </si>
  <si>
    <t>SUPREMA HIDROELETRICA LTDA ME</t>
  </si>
  <si>
    <t>RISENETE</t>
  </si>
  <si>
    <t>31-3353-6747</t>
  </si>
  <si>
    <t>Cliente só atende o governo e não tem necessidadde de consultar.</t>
  </si>
  <si>
    <t>02526788000108</t>
  </si>
  <si>
    <t>RIBEIRO &amp; BARBOSA REPRES LTDA</t>
  </si>
  <si>
    <t>NAIANE</t>
  </si>
  <si>
    <t>62-3223-4377</t>
  </si>
  <si>
    <t>00146124000180</t>
  </si>
  <si>
    <t>SUBITO SINALIZACAO COM VISUAL LTDA-EPP</t>
  </si>
  <si>
    <t>PAULA</t>
  </si>
  <si>
    <t>11-5562-0865</t>
  </si>
  <si>
    <t>43814052000104</t>
  </si>
  <si>
    <t>TDK DO BRASIL IND COM LTDA - A/C SRA HELOISA</t>
  </si>
  <si>
    <t>SILVIA</t>
  </si>
  <si>
    <t>51-3484-7059</t>
  </si>
  <si>
    <t>Ja uitliza o serviço de consulta com a Serasa em outro CNPJ: 90285958/0001-69.</t>
  </si>
  <si>
    <t>61843934000180</t>
  </si>
  <si>
    <t>WALMINI FERRAGENS FERRAM LTDA</t>
  </si>
  <si>
    <t>PAULO</t>
  </si>
  <si>
    <t>11-3227-4466</t>
  </si>
  <si>
    <t xml:space="preserve">falou que ja utiliza os dois Serasa e Boa Vista/ </t>
  </si>
  <si>
    <t>17660437000154</t>
  </si>
  <si>
    <t>STYROSUL INDUSTRIA E COMERCIO DE ISOPOR LTDA ME</t>
  </si>
  <si>
    <t>31-3343-9009</t>
  </si>
  <si>
    <t>61576336000191</t>
  </si>
  <si>
    <t>STAMAC IND COM MAQ LTDA</t>
  </si>
  <si>
    <t>DANIELA</t>
  </si>
  <si>
    <t>11-3845-2855</t>
  </si>
  <si>
    <t>10247643000198</t>
  </si>
  <si>
    <t>VIASUPRI SUPRIMENTOS DE ESCRITORIO E LIMPEZA LTDA</t>
  </si>
  <si>
    <t>FABRISIA</t>
  </si>
  <si>
    <t>11-4174-7900</t>
  </si>
  <si>
    <t>não tem interesse por enquanto a Boa Vista atende muito bem as necessidades deles</t>
  </si>
  <si>
    <t>14847631000155</t>
  </si>
  <si>
    <t>REDETRAFO COMERCIO DE MATERIAIS ELETRICOS LTDA EPP</t>
  </si>
  <si>
    <t>CAROLINE</t>
  </si>
  <si>
    <t>11-4556-7325</t>
  </si>
  <si>
    <t>04974842000103</t>
  </si>
  <si>
    <t>WORK FER COMERCIO DE FERRAMENTAS LTDA EPP</t>
  </si>
  <si>
    <t>VALMOR</t>
  </si>
  <si>
    <t>11-2959-2933</t>
  </si>
  <si>
    <t>diretoria@portoro.com.br</t>
  </si>
  <si>
    <t>rpvdamazonia@uol.com.br</t>
  </si>
  <si>
    <t>falei com a Monica e e ela tinah acabado de fechar contrato com a SPC Brasil, retornar contato após carência.</t>
  </si>
  <si>
    <t>APARECIDA</t>
  </si>
  <si>
    <t>58579392000175</t>
  </si>
  <si>
    <t>TECIDOS HODORY LTDA</t>
  </si>
  <si>
    <t>ILAN</t>
  </si>
  <si>
    <t>11-2695-9550</t>
  </si>
  <si>
    <t>07435235000155</t>
  </si>
  <si>
    <t>ZENSHIN BRASIL COM PECAS E ACESS MAQUINARIOS LTDA</t>
  </si>
  <si>
    <t>96621131000165</t>
  </si>
  <si>
    <t>TECHNO PUMP COM REPRES LTDA</t>
  </si>
  <si>
    <t>LILIAN</t>
  </si>
  <si>
    <t>62</t>
  </si>
  <si>
    <t>11-2274-8292</t>
  </si>
  <si>
    <t>fat@technopump.com.br</t>
  </si>
  <si>
    <t>04836444000112</t>
  </si>
  <si>
    <t>WB COM REPRES LTDA</t>
  </si>
  <si>
    <t>R$ 267,00</t>
  </si>
  <si>
    <t>48-3437-5180</t>
  </si>
  <si>
    <t>wb.ltda@terra.com.br</t>
  </si>
  <si>
    <t>69089431000172</t>
  </si>
  <si>
    <t>WELD CENTER COM MAQ EQUIP SOLDA LTDA</t>
  </si>
  <si>
    <t>FABIOLA</t>
  </si>
  <si>
    <t>16-3636-8793</t>
  </si>
  <si>
    <t>financeiro@weldcenter.com.br</t>
  </si>
  <si>
    <t>Utiliza Boa Vista ja recebeu proposta da Serasa mas por em quanto a Bos Vista ta suprindo as necessidades dela, não quiz passar maiores informação pediu para eu mandar um e-mail com o meu contati que quando ela achar necessário ela me procura.]_x000D_
_x000D_
e-mail enviado.</t>
  </si>
  <si>
    <t>61946091000147</t>
  </si>
  <si>
    <t>ZIMAQ IND COM LTDA</t>
  </si>
  <si>
    <t>MARLEIDE</t>
  </si>
  <si>
    <t>11-2341-7257</t>
  </si>
  <si>
    <t>financeiro@zimaq.com.br</t>
  </si>
  <si>
    <t>04291824000119</t>
  </si>
  <si>
    <t>TCP COMERCIO E LOCACAO DE ARTIGOS MEDICOS E HOSPIT</t>
  </si>
  <si>
    <t>98</t>
  </si>
  <si>
    <t>11-2651-2777</t>
  </si>
  <si>
    <t>financeiro@tcpneuro.com.br</t>
  </si>
  <si>
    <t>CPF</t>
  </si>
  <si>
    <t>280</t>
  </si>
  <si>
    <t>55078505000160</t>
  </si>
  <si>
    <t>TERMOBRONZE METAIS E LIGAS LTDA</t>
  </si>
  <si>
    <t>JACINTA</t>
  </si>
  <si>
    <t>11-2601-0150</t>
  </si>
  <si>
    <t>02451252000162</t>
  </si>
  <si>
    <t>STAR RACER BRASIL LTDA</t>
  </si>
  <si>
    <t>12-3654-3600</t>
  </si>
  <si>
    <t>11485195000123</t>
  </si>
  <si>
    <t>SUPRIMAIS COM DE SUPRIMENTOS E EQUIP REPROG</t>
  </si>
  <si>
    <t>PATRICIA</t>
  </si>
  <si>
    <t>19-3829-2275</t>
  </si>
  <si>
    <t>05070738000149</t>
  </si>
  <si>
    <t>SOLUCAO SISTEMAS DE HIGIENE E LIMPEZA LTDA EPP</t>
  </si>
  <si>
    <t>11-5013-3030</t>
  </si>
  <si>
    <t>18033864000175</t>
  </si>
  <si>
    <t>PROTETINTAS DISTRIBUIDORA DE TINTAS LTDA EPP</t>
  </si>
  <si>
    <t>ALEXANDRE</t>
  </si>
  <si>
    <t>11-5579-3435</t>
  </si>
  <si>
    <t>Tem que falar com o Alexandre, falei com um senhor que falou que não precisam porque so vendem a vista ou no cartão.</t>
  </si>
  <si>
    <t>22:20:53</t>
  </si>
  <si>
    <t>49664741000166</t>
  </si>
  <si>
    <t>PLASTIDUR INDUSTRIA E COMERCIO DE PLASTICOS LTDA E</t>
  </si>
  <si>
    <t>11-2211-0025</t>
  </si>
  <si>
    <t>06/06/2019</t>
  </si>
  <si>
    <t>56131857000103</t>
  </si>
  <si>
    <t>RONALDO T.P. FLORES-ME</t>
  </si>
  <si>
    <t>11-3879-3879</t>
  </si>
  <si>
    <t>ronaldo@aunimaq.com.br</t>
  </si>
  <si>
    <t>05236564000141</t>
  </si>
  <si>
    <t>SISTEMA INOVACAO INTEGRACAO EM DISTR LTDA</t>
  </si>
  <si>
    <t>35-3531-6382</t>
  </si>
  <si>
    <t>09504405000131</t>
  </si>
  <si>
    <t>TEEJET TECHNOLOGIES SOUTH AMERICA PROD AGRIC LTDA</t>
  </si>
  <si>
    <t>CARLOS</t>
  </si>
  <si>
    <t>11-4612-0049</t>
  </si>
  <si>
    <t>carlos.nascimento@teejet.com</t>
  </si>
  <si>
    <t>falei com o Carlos ele falou que o diretor dele recebeu uma proposta a um mês a atrás e não teve interesse em mudar, fazem bem poucas consultas cadastram um cliente novo por mês no maximo quase não utilizam o serviço._x000D_
_x000D_
mandei um e-mail para ficar com o meu contato caso futuramente eles venham a precisar utilizar mais o serviço.</t>
  </si>
  <si>
    <t>00717438000195</t>
  </si>
  <si>
    <t>TELETRONIC COM EQUIP SERG LTDA</t>
  </si>
  <si>
    <t>61-3363-9291</t>
  </si>
  <si>
    <t>05325067000110</t>
  </si>
  <si>
    <t>TODO A BRASIL COMERCIO DE PRESENTES LTDA ME</t>
  </si>
  <si>
    <t>11-3229-8066</t>
  </si>
  <si>
    <t>02435748000142</t>
  </si>
  <si>
    <t>TUDO PET COMERCIAL EIRELI EPP</t>
  </si>
  <si>
    <t>11-2372-0304</t>
  </si>
  <si>
    <t>62204045000135</t>
  </si>
  <si>
    <t>SIGRAMAR COMERCIO DE GRANITOS MARMORES LTDA</t>
  </si>
  <si>
    <t>16-3515-7051</t>
  </si>
  <si>
    <t>06341274000120</t>
  </si>
  <si>
    <t>SOVAN EQUIP SEG LTDA</t>
  </si>
  <si>
    <t>VICENTE</t>
  </si>
  <si>
    <t>R$ 230,00</t>
  </si>
  <si>
    <t>R$ 4,80</t>
  </si>
  <si>
    <t>15-3219-5014</t>
  </si>
  <si>
    <t>vicente@sovan-brasil.com.br</t>
  </si>
  <si>
    <t>16815333000109</t>
  </si>
  <si>
    <t>SERGIO TADEU MELEIRO MADEIRAS EIRELI EPP</t>
  </si>
  <si>
    <t>TAMARA</t>
  </si>
  <si>
    <t>11-2030-3616</t>
  </si>
  <si>
    <t>ja utiliza os serviços da Serasa em outro CNPJ.</t>
  </si>
  <si>
    <t>64824444000205</t>
  </si>
  <si>
    <t>VALFLANGE INDUSTRIA E COMERCIO DE ACESSORIOS INDUS</t>
  </si>
  <si>
    <t>MARIANA</t>
  </si>
  <si>
    <t>11-2783-4889</t>
  </si>
  <si>
    <t>mariana@valflange.com.br</t>
  </si>
  <si>
    <t>01334141000103</t>
  </si>
  <si>
    <t>TORNITEC MAQUINAS OPERATRIZES LTDA</t>
  </si>
  <si>
    <t>11-3277-4468</t>
  </si>
  <si>
    <t>Atendente bem grossa não deixou eu ofertar e falou que não tem interesse.</t>
  </si>
  <si>
    <t>06335969000108</t>
  </si>
  <si>
    <t>TERRA BRASIL IND COM COCO LTDA</t>
  </si>
  <si>
    <t>51-3662-8310</t>
  </si>
  <si>
    <t>Mudou para imbiliaria e não efetuam analise de crédito passam tudo direto para o banco os financiamentos.</t>
  </si>
  <si>
    <t>64288947000122</t>
  </si>
  <si>
    <t>SKIPPY IND COM LTDA</t>
  </si>
  <si>
    <t>32-3235-2226</t>
  </si>
  <si>
    <t>fechou contrato com a CDL no dia anterior a ligação, retornar o contato após 12 meses.</t>
  </si>
  <si>
    <t>05731186000172</t>
  </si>
  <si>
    <t>SODIC TELEMATICA LTDA</t>
  </si>
  <si>
    <t>JOAO OU DANIELA</t>
  </si>
  <si>
    <t>11-3393-3340</t>
  </si>
  <si>
    <t>05233795000100</t>
  </si>
  <si>
    <t>TECMASTER AUTOMACAO COML LTDA</t>
  </si>
  <si>
    <t>61-3553-8500</t>
  </si>
  <si>
    <t>silvia@tecmasternet.com.br</t>
  </si>
  <si>
    <t>No momento so atende a grandes redes e não fazem abertura de novos cadastros, mas ja estão pensando em atender um publico menor, ai vão precisar mandei um e-mail com o meu contato.</t>
  </si>
  <si>
    <t>50649003000129</t>
  </si>
  <si>
    <t>SYNCROFILM DISTRIBUIDORA LTDA</t>
  </si>
  <si>
    <t>11-5112-2222</t>
  </si>
  <si>
    <t>61791232000108</t>
  </si>
  <si>
    <t>POLINS EMBALAGENS PLASTICAS LTDA ME</t>
  </si>
  <si>
    <t>11-3751-0850</t>
  </si>
  <si>
    <t>08404772000109</t>
  </si>
  <si>
    <t>VERMAG DO BRASIL EQUIP SERV P/ IND ALIMENT LTDA</t>
  </si>
  <si>
    <t>FLAVIA</t>
  </si>
  <si>
    <t>R$ 3,50</t>
  </si>
  <si>
    <t>48-3286-3009</t>
  </si>
  <si>
    <t>faz uma ou duas consultas por mês tem contrato com a associação, ja fez cotação com a Serasa e para eles não vale apena ter contrato com a Serasa por que vai ficar muito mais caro que com a Boa Vista.</t>
  </si>
  <si>
    <t>07064875000104</t>
  </si>
  <si>
    <t>SPAN VALE COM PROD ALIMENT LTDA</t>
  </si>
  <si>
    <t>12-3672-2300</t>
  </si>
  <si>
    <t>09516649000134</t>
  </si>
  <si>
    <t>PLASTICOS DOUBLE DO BRASIL LTDA ME</t>
  </si>
  <si>
    <t>ELISANGELA</t>
  </si>
  <si>
    <t>R$ 4,91</t>
  </si>
  <si>
    <t>11-2724-3158</t>
  </si>
  <si>
    <t>plasticosdouble@gmail.com</t>
  </si>
  <si>
    <t>18912484000100</t>
  </si>
  <si>
    <t>TF ROLAMENTOS LTDA ME</t>
  </si>
  <si>
    <t>PEREIRA</t>
  </si>
  <si>
    <t>11-3596-9667</t>
  </si>
  <si>
    <t>pereira@tfrolamentos.com</t>
  </si>
  <si>
    <t>No momento não tem interesse estão sendo bem atendidos por atual fornecedor, mas mandei e-mail caso mudem de ideia.</t>
  </si>
  <si>
    <t>12418918000134</t>
  </si>
  <si>
    <t>PROFIAD IMPORTACAO E EXPORTACAO LTDA</t>
  </si>
  <si>
    <t>GIOVANE</t>
  </si>
  <si>
    <t>R$ 2,17</t>
  </si>
  <si>
    <t>31-2567-9165</t>
  </si>
  <si>
    <t>adm@profiad.com.br</t>
  </si>
  <si>
    <t>47967468000113</t>
  </si>
  <si>
    <t>RICERA IMPORTACAO EXPORTACAO E COMERCIO LTDA</t>
  </si>
  <si>
    <t>11-2108-5666</t>
  </si>
  <si>
    <t>procol@procol.com.br</t>
  </si>
  <si>
    <t>16:56:21</t>
  </si>
  <si>
    <t>17:24:17</t>
  </si>
  <si>
    <t>tem que ficar tentando contato com ele durante a tarde ou por e-mail.</t>
  </si>
  <si>
    <t>17:24:58</t>
  </si>
  <si>
    <t>R$ 120,00</t>
  </si>
  <si>
    <t>R$ 6,00</t>
  </si>
  <si>
    <t>mcarmelina@hotmail.com</t>
  </si>
  <si>
    <t>MARIA CARMELINA</t>
  </si>
  <si>
    <t>145</t>
  </si>
  <si>
    <t>R$ 200,00</t>
  </si>
  <si>
    <t>R$ 6,60</t>
  </si>
  <si>
    <t>marcia@tudopet.com.br</t>
  </si>
  <si>
    <t>9025</t>
  </si>
  <si>
    <t>04257174000195</t>
  </si>
  <si>
    <t>SATORI IMPORTACAO &amp; EXPORTACAO LTDA</t>
  </si>
  <si>
    <t>ELAINE</t>
  </si>
  <si>
    <t>R$ 180,00</t>
  </si>
  <si>
    <t>47-32464849</t>
  </si>
  <si>
    <t>financeiro@satori.com.br</t>
  </si>
  <si>
    <t>financeiro2@aylla.com.br</t>
  </si>
  <si>
    <t>09:46:18</t>
  </si>
  <si>
    <t xml:space="preserve">Retornar em outro horário, no momento que liguei ja havia encerrado o expediente. Mulher é supergrossa não quer SERASA de jeito algum._x000D_
_x000D_
_x000D_
</t>
  </si>
  <si>
    <t>09:52:22</t>
  </si>
  <si>
    <t>31-2537-7676</t>
  </si>
  <si>
    <t>7677</t>
  </si>
  <si>
    <t>cobranca@ready.com.br</t>
  </si>
  <si>
    <t>retornar na segunda a Iris não estava na empresa</t>
  </si>
  <si>
    <t>11:50:56</t>
  </si>
  <si>
    <t>Vanessa que é a responsavel estava vijando retornar no dia 27/05/2019 contato _x000D_
_x000D_
Nunca consegue contato com o responsavel, sempre mandam ligar outro dia</t>
  </si>
  <si>
    <t>11:53:46</t>
  </si>
  <si>
    <t>11:54:22</t>
  </si>
  <si>
    <t>11:54:53</t>
  </si>
  <si>
    <t>17</t>
  </si>
  <si>
    <t>13:56:25</t>
  </si>
  <si>
    <t>13:56:55</t>
  </si>
  <si>
    <t>700</t>
  </si>
  <si>
    <t>23</t>
  </si>
  <si>
    <t>620</t>
  </si>
  <si>
    <t>31-3388-7799</t>
  </si>
  <si>
    <t>Enviei e-mail com proposta retornar após as 15:00._x000D_
_x000D_
Analisaram a proposta os valores ficaram bom mas a diretoria decidiu ficar com a Boa Vista por hora, havendo necessidadde de mudar eles retorno o contato.</t>
  </si>
  <si>
    <t>15:35:01</t>
  </si>
  <si>
    <t>15-3288-4700</t>
  </si>
  <si>
    <t>15:47:32</t>
  </si>
  <si>
    <t>telefone 1 - E um telefone residencial_x000D_
_x000D_
telefone 2 - É um telefone residencial_x000D_
_x000D_
Telefone da empresa não localizado.</t>
  </si>
  <si>
    <t>15:47:56</t>
  </si>
  <si>
    <t>Gasta de R$900,00 a R$1.000,00 com consultas faz em torno de 80 a 100 consultas._x000D_
_x000D_
Quer contratar nossos serviços mas so quer fechar se ir um representante pessoalmente na empresa mandei um e-mail tentando convencer ela a tratarmos os assuntos por telefone, whats ou e-mail.</t>
  </si>
  <si>
    <t>Ninguem atende o telefone_x000D_
_x000D_
ninguem atende o teledone.</t>
  </si>
  <si>
    <t>15:57:39</t>
  </si>
  <si>
    <t>15:59:41</t>
  </si>
  <si>
    <t>16:00:06</t>
  </si>
  <si>
    <t>16:00:46</t>
  </si>
  <si>
    <t>retornar amanhão a responsável não estava na empresa, cliente (winback Novo)_x000D_
_x000D_
tentativa de contato sem sucesso</t>
  </si>
  <si>
    <t>16:01:36</t>
  </si>
  <si>
    <t>2</t>
  </si>
  <si>
    <t>Adriana/ so retorna na segunda 10:00, responsável estava viajando ( winback Novo)._x000D_
_x000D_
Uitliza CDL e faz uma ou duas consultas por mês quando faz, não tem interesse.</t>
  </si>
  <si>
    <t>16:03:45</t>
  </si>
  <si>
    <t>16:06:57</t>
  </si>
  <si>
    <t>16:07:27</t>
  </si>
  <si>
    <t>Falei com a Rita fiquei de confirmar os valores da proposta enviada e os valores ofertados estão corretos, enviada proposta de R$764,00 com 35% de desconto. _x000D_
_x000D_
Retornara  a tarde começa a trabalhar a parttir das 11:30._x000D_
_x000D_
Cliente TOP PME</t>
  </si>
  <si>
    <t>16:08:02</t>
  </si>
  <si>
    <t>Joana falou que ja utilizou Serasa mas acabou voltando para a CDL e não lembra ao certo o porque voltou faz muito tempo mas pediu para mandar uma proposta por e-mail._x000D_
_x000D_
E-mail enviado com proposta de R$208,00 com 30% de desconto._x000D_
_x000D_
Analisou a proposta falou que a diferença é muito pouca e não valia apena ficar trocando.</t>
  </si>
  <si>
    <t>16:08:46</t>
  </si>
  <si>
    <t>9757</t>
  </si>
  <si>
    <t>compras@servgela.com.br</t>
  </si>
  <si>
    <t>Retornar a tarde, estava muito ocupada na sexta._x000D_
_x000D_
_x000D_
nunca pode atender o telefone.</t>
  </si>
  <si>
    <t>17:41:47</t>
  </si>
  <si>
    <t>ELOI</t>
  </si>
  <si>
    <t>gerencia@yacima.com.br</t>
  </si>
  <si>
    <t>retornar entre 7:00 e 16:30 o Eloi não estava na empresa , empresa de atacado no Brás._x000D_
_x000D_
liguei de manha estava em reuniao ligar por volta das 11:00_x000D_
_x000D_
Utiliza distribuidor e não tem interesse em mudar neste momento acha anti ético nos ligarmos oferecendo. mandei e-mail com o meu contato caso futuramente ele precise de nossos serviços.</t>
  </si>
  <si>
    <t>09:49:42</t>
  </si>
  <si>
    <t xml:space="preserve">telefone Geral (11) 4950-9400/ (11) 4950-9751 Jiri/ 4.000/ basica/ jiri@sbwebservices.net/ retornar falar com Anderson./ anderson.gimenes@sbwebservices.net/ (11) 4950-9752._x000D_
_x000D_
E-mail enviado dia 28/05 solicitando o valor unitario pago por consulta._x000D_
_x000D_
tentei contato inumeras vezes por e-mail e telefone não tive sucesso._x000D_
</t>
  </si>
  <si>
    <t>09:55:03</t>
  </si>
  <si>
    <t>09:57:45</t>
  </si>
  <si>
    <t>09:58:14</t>
  </si>
  <si>
    <t>A recepcionista falou que eles não tem interesse em miudar porque utilizam a Boa Vista a muito temnpo, que é para mandar e-mail perguntando para o Luis se ele tem interesse, não tinha informação da quantidadde de consulta que faz e demais informações._x000D_
_x000D_
e-mail enviado_x000D_
_x000D_
tentei contato novamente é para aguardar, quando ele tiver interesse ele responde o e-mail.</t>
  </si>
  <si>
    <t>10:55:15</t>
  </si>
  <si>
    <t xml:space="preserve">Marcia está de férias e retornar na segunda feira dia agendado para retornar e tentar contato._x000D_
_x000D_
utiliza o serviço pre pago quando faz consultas utiliza umas 3 consultas no maximo e não tem interesse em receber proposta de serviço pós pago, não quer despesa fixa. </t>
  </si>
  <si>
    <t>11:02:04</t>
  </si>
  <si>
    <t>responsável não estava na empresa, retornar na quinta para falar com ele._x000D_
_x000D_
ja utilizou serviço da Serasa e teve problema com cobranças indevidas, teve que processar a Serasa para poder recuperar o dinheiro, no ponto de vista dela a empresa não é uma empresa de confiança e na empresa dela as portas estão fechadas para a Serasa.</t>
  </si>
  <si>
    <t>11:10:02</t>
  </si>
  <si>
    <t xml:space="preserve">Falou que ja utilizava serviço de consulta e que estava ocupada no mesmo instante desligou o telefone._x000D_
_x000D_
retornar hoje após o meio dia._x000D_
_x000D_
Retornei e a Paula e muito grossa repetiu que ja utiliza serviço de consulta e desligou não me deu chances de falar. </t>
  </si>
  <si>
    <t>11:12:03</t>
  </si>
  <si>
    <t>R$ 160,00</t>
  </si>
  <si>
    <t>R$ 12,00</t>
  </si>
  <si>
    <t>hodory@uol.com.br</t>
  </si>
  <si>
    <t>EDERSON</t>
  </si>
  <si>
    <t>Responsavel estava em ligação retornar daqui uns 30 minitos._x000D_
_x000D_
_x000D_
FAz menos de um mês que fechou parceria com a Serasa</t>
  </si>
  <si>
    <t>15:59:43</t>
  </si>
  <si>
    <t>A consulta que ele faz é a Perfil Risco, vem pontualidade, toda a parte de restrição, nunca mudou para a Serasa porque ninguem consegue chegar no valor que ele paga._x000D_
_x000D_
mandei um e-mail perguntando se ele pode enviar a fatura._x000D_
_x000D_
não respondeu ao e-mail tentei contato novamente não podia atender.</t>
  </si>
  <si>
    <t>16:32:57</t>
  </si>
  <si>
    <t>16:35:16</t>
  </si>
  <si>
    <t>syncrofilm@sincrofilm.com.br</t>
  </si>
  <si>
    <t>Ligar no outro dia não tinha o valor unitario em mãos._x000D_
 _x000D_
Entrei em contato com a Nolma hoje e falou que ja ia me enviar o e-mail acabou o dia e não recebi nada. 05/06/2019._x000D_
_x000D_
Mandei e-mail pedindo a fatura._x000D_
_x000D_
mandei e-mail encerrando o contato.</t>
  </si>
  <si>
    <t>10:17:18</t>
  </si>
  <si>
    <t>financeiro@sansulalimentos.com.br</t>
  </si>
  <si>
    <t>14:58:23</t>
  </si>
  <si>
    <t>caroline@redetrafo.com.br</t>
  </si>
  <si>
    <t>A resposnsável não se encontrava, retornara a tarde._x000D_
_x000D_
praticamente não utiliza tem uma pacote de R$30,00 por mês, mandei e-mail para salvar o contato.</t>
  </si>
  <si>
    <t>15:56:24</t>
  </si>
  <si>
    <t>aparecida@isofort.com.br</t>
  </si>
  <si>
    <t>retornar a tarde a responsável não estava. retornar por volta das 16:00._x000D_
_x000D_
tentar direto no ramal dela._x000D_
_x000D_
retornar na segunda Aparecida não estava, Falei com vera que falou que a melhor forma de contato é por e-mail muito raramente vou encontrar ela._x000D_
_x000D_
mandei e-mail pedindo atendimento</t>
  </si>
  <si>
    <t>16:06:28</t>
  </si>
  <si>
    <t>MARIA CARMELINA, não estava na empresa e Stefania que faz as consultas não sabia faklar quanto paga porque é nova na empresa, retornara a tarde por volta das 15:00._x000D_
_x000D_
enviado e-mail com proposta._x000D_
_x000D_
mandei e-mail pendindo uma resposta da proposta._x000D_
 Mandei e-mail encerrando o contato não consegui mais contato com a responsavel.</t>
  </si>
  <si>
    <t>16:23:39</t>
  </si>
  <si>
    <t>retornara a tarde a responsavel não se encontrava._x000D_
_x000D_
tentei contato mas ninguem atende._x000D_
_x000D_
Utiliza a empresa Omini para vender a prazo e fazer consultas.</t>
  </si>
  <si>
    <t>16:33:14</t>
  </si>
  <si>
    <t>Retornar entre 11:30/12:30 é os unicos horários que encontra ele la empresa._x000D_
_x000D_
tentei ligar e o Evandro não se encontrava_x000D_
_x000D_
tentei novo contato e não tive sucesso.</t>
  </si>
  <si>
    <t>16:47:23</t>
  </si>
  <si>
    <t>4</t>
  </si>
  <si>
    <t>financeiro@polinsembalagens.com</t>
  </si>
  <si>
    <t>02124228000119</t>
  </si>
  <si>
    <t>POTENCIA AQUECIMENTOS INDUSTRIAIS LTDA ME</t>
  </si>
  <si>
    <t>11-2722-3723</t>
  </si>
  <si>
    <t>18/06/2019</t>
  </si>
  <si>
    <t>66907346000186</t>
  </si>
  <si>
    <t>TOPPETRO COMERCIO DE DERIVADOS DE PETROLEO LTDA</t>
  </si>
  <si>
    <t>MARI</t>
  </si>
  <si>
    <t>R$ 100,00</t>
  </si>
  <si>
    <t>11-2215-1799</t>
  </si>
  <si>
    <t>vendas@toppetro.com.br</t>
  </si>
  <si>
    <t>retornar depois do contrato de permanencia acabar,acabou de ser renovado.</t>
  </si>
  <si>
    <t>10584112000190</t>
  </si>
  <si>
    <t>RAFAEL ARRUDA NEVES ME</t>
  </si>
  <si>
    <t>RAFAEL</t>
  </si>
  <si>
    <t>11-2261-2340</t>
  </si>
  <si>
    <t>19/06/2019</t>
  </si>
  <si>
    <t>15388506000197</t>
  </si>
  <si>
    <t>RCK COMERCIO LTDA ME</t>
  </si>
  <si>
    <t>DORIVAL</t>
  </si>
  <si>
    <t>47-3423-2733</t>
  </si>
  <si>
    <t>sedcontabilidade@terra.com.br</t>
  </si>
  <si>
    <t>dorival@sdcontabilidade.com</t>
  </si>
  <si>
    <t>É uam contabilidade pediu para eu passar um e-mail para ele conhecer os serviços e mandar para todos os clientes dele._x000D_
_x000D_
Enviei e-mail oferecendo uma parceria.</t>
  </si>
  <si>
    <t>Consulta CNPJ e CPF/ 50% de cada/ quando gasta muito gasta em torno e R$900. contato 21/05/ enviado e-mail de proposta dia 22/06. _x000D_
_x000D_
retronar para ver posição do e-mai as 15:50_x000D_
_x000D_
retornar daqui 10 minutos_x000D_
 retornara as 16:40._x000D_
Mandei e-mail pedindo um feed Back_x000D_
Respondeu que no momento vao continuar utilizando CDL.</t>
  </si>
  <si>
    <t>14:23:13</t>
  </si>
  <si>
    <t>Retornar na segunda 16:20_x000D_
_x000D_
Diego não estava contato 16:00 03/06_x000D_
_x000D_
Tentar ligar as 16:12 estava em ligação._x000D_
 retornar daqui 10 minutos._x000D_
_x000D_
Falou que não utiliza serasa porque teve problemas.</t>
  </si>
  <si>
    <t>14:25:58</t>
  </si>
  <si>
    <t>500</t>
  </si>
  <si>
    <t>passou poucas informações falou que não tem autorização para passar mais do que essas informações, pediu para eu passar um e-mail com apresentãção e eles vão ver se interessa._x000D_
_x000D_
e-mail enviado._x000D_
_x000D_
no aguado de alguma posição da cliente, porque fui informado que a mesma so responde por e-mail.</t>
  </si>
  <si>
    <t>14:31:09</t>
  </si>
  <si>
    <t xml:space="preserve">Falei com Fernanda e ela pediu para eu tratar os assuntos pro e-mail, que é a maneira mais facil de falar com ele._x000D_
_x000D_
E-mail enviado._x000D_
_x000D_
Tinha evento na empresa e seria empossivel eu falar com o Eduardo no dia do contato._x000D_
A secretaria pedu meu contato para ele retornar porque ele sempre este me runiao, passei o telefone do escritorio._x000D_
</t>
  </si>
  <si>
    <t>14:42:13</t>
  </si>
  <si>
    <t>O responsável não fica na empresa mora em portugal, mandar e-mail oferecendo a parceria a unica forma de ter contato com ele é desta forma._x000D_
_x000D_
e-mail enviado._x000D_
_x000D_
nunca respondeu ao e-mail, segunda a secretária esta é a unica forma de contato.</t>
  </si>
  <si>
    <t>14:42:59</t>
  </si>
  <si>
    <t>A propria responsável atendeu é bem antipatica falou que não tem interesse em mudar e que se quiser mandar um e-mail sem compromisso que fique a vontade._x000D_
_x000D_
como não tinha interesse mandei meu contato caso no futuro precise de alguma cotação.</t>
  </si>
  <si>
    <t>14:44:21</t>
  </si>
  <si>
    <t xml:space="preserve">procurar por Daniela, ela não estava na empresa. ligar no periodo da manhã por volta das 9:30._x000D_
liguei novamente e ela so se enocntra na empresa no periodo da manhã._x000D_
_x000D_
liguei com a Daniela, falou que não tem interesse e desligou o telefone sem dar chances de eu responder._x000D_
</t>
  </si>
  <si>
    <t>14:45:33</t>
  </si>
  <si>
    <t>14:45:52</t>
  </si>
  <si>
    <t>retornar a tarde, ele estava em reunião._x000D_
_x000D_
retonar as 14:00._x000D_
_x000D_
retornar em outro horário estava em reuniao._x000D_
_x000D_
A secretaria falou com ele e disse que ele não tem interesse.</t>
  </si>
  <si>
    <t>14:52:03</t>
  </si>
  <si>
    <t>mandei duas proposta de contrato em encima do valor que pagam por mês, e outra em cima da quantidade de consulta._x000D_
_x000D_
e-mail enviado._x000D_
_x000D_
Respondeu que no momento não é interessante sair da Boa Vista</t>
  </si>
  <si>
    <t>14:54:52</t>
  </si>
  <si>
    <t xml:space="preserve">responsavel não estava na empresa retornar para tentar um contato._x000D_
_x000D_
17:30 retornar a responsavel estava em outra ligação._x000D_
_x000D_
Falei com a Patricia ela falou que não tem necessidade do serviço._x000D_
</t>
  </si>
  <si>
    <t>14:57:24</t>
  </si>
  <si>
    <t>SCHEILA</t>
  </si>
  <si>
    <t>rh@solucaoservicos.com</t>
  </si>
  <si>
    <t>RODRIGO</t>
  </si>
  <si>
    <t>retornar a tarde, resposnsavel não tinha chego ainda. retornar no periodo da manha 9:00._x000D_
_x000D_
tentei contato e o resposnsavel não estava_x000D_
_x000D_
Quase não utiliza quando utiliza  usa no maximo 6 consultas mês e 70% de seus clientes são orgãos públicos, quansão empresas privadas ele pede pagamento antecipado, mandei meu contato caso precise de nossos serviços futuramente.</t>
  </si>
  <si>
    <t>15:37:01</t>
  </si>
  <si>
    <t>retornara a tarde e falar com a Marcia._x000D_
_x000D_
ja foi enviado proposta dia 06/06 mandei e-mail cobrando alguma posição._x000D_
_x000D_
mandei e-mail pedindo feedback, não tive resposta._x000D_
_x000D_
Mandei e-mail concluido o atendimento e ficando a disposição.</t>
  </si>
  <si>
    <t>15:40:22</t>
  </si>
  <si>
    <t>TARDINI</t>
  </si>
  <si>
    <t>tardini@sigramarribeirao.com.br</t>
  </si>
  <si>
    <t>retornar a tarde, nenhum dos dois responsaveis estavam na sala retornar 10:00_x000D_
_x000D_
quando seleciona a opção 3 da ura cai a ligação._x000D_
_x000D_
uitimamente telefone não completa a ligação.</t>
  </si>
  <si>
    <t>09:44:48</t>
  </si>
  <si>
    <t>retornar mais tarde os responsaveis não se encontravam. 8:00_x000D_
_x000D_
secretaria não quiz passar o nome de nenhum responsável, so passou o e-mail e disse que é para mandar o e-mail que a diretoria direciona ao responsável._x000D_
_x000D_
mendei e-mail pedindo atendimento._x000D_
_x000D_
não obtive nenhuma resposta.</t>
  </si>
  <si>
    <t>09:45:56</t>
  </si>
  <si>
    <t>GUIMAMAES</t>
  </si>
  <si>
    <t>guimaraes@sorveplan.com.br</t>
  </si>
  <si>
    <t>1300</t>
  </si>
  <si>
    <t>retornar segunda a responsavel não estava, a menina da recepção é muito devagar não intende o que estou ofertando e não passa a ligação._x000D_
_x000D_
ninguem atende._x000D_
_x000D_
ninguem atende o telefone tentado vários contatos.</t>
  </si>
  <si>
    <t>09:57:53</t>
  </si>
  <si>
    <t>Ninguem atende o telefone._x000D_
_x000D_
após varias tentativas de contato ninguem atende o telefone.</t>
  </si>
  <si>
    <t>10:01:46</t>
  </si>
  <si>
    <t>o responsável não estava retornar ápós o meio dia._x000D_
_x000D_
Falei com Silvano e ele disse que tava fazendo uma consulta a cada dois meses e por isso decidiu cancelar mandei um e-mail para salvar meu contato quando precisar futuramente.</t>
  </si>
  <si>
    <t>10:28:51</t>
  </si>
  <si>
    <t>retornar a tarde para pegar o telefone do outro escritorio que utiliza mais. retronar por volta das 17:30._x000D_
_x000D_
liguei de volta e a naiane não tem autorização para passar informações e não quis passar e-mail do responsavel, também falou que não podia passar a ligação.</t>
  </si>
  <si>
    <t>10:30:50</t>
  </si>
  <si>
    <t>TELEIMPORT ELETRONICA LTDA</t>
  </si>
  <si>
    <t>MICHELI</t>
  </si>
  <si>
    <t>11-3222-2122</t>
  </si>
  <si>
    <t>52099983000169</t>
  </si>
  <si>
    <t>JESUS DE MARI ARTEFATOS DE CIMENTO LTDA</t>
  </si>
  <si>
    <t>INGRID</t>
  </si>
  <si>
    <t>11-1146-7654</t>
  </si>
  <si>
    <t>Falei com A Ingrid que falou que a Serasa não é tão boa quanto a Boa Vista é quando expliquei e diferença não quis mais continuar a ligação.</t>
  </si>
  <si>
    <t>02/07/2019</t>
  </si>
  <si>
    <t>83046656000172</t>
  </si>
  <si>
    <t>MAESTRO DO BRASIL INDUSTRIA METALURGICA LTDA</t>
  </si>
  <si>
    <t>48-3466-6500</t>
  </si>
  <si>
    <t>05741680000118</t>
  </si>
  <si>
    <t>IMPLACIL DE BORTOLI MATERIAL ODONTOLOGICO LTDA</t>
  </si>
  <si>
    <t>11-3342-5100</t>
  </si>
  <si>
    <t>Falouq eu ja tuilia serviços da Serasa</t>
  </si>
  <si>
    <t>57026585000136</t>
  </si>
  <si>
    <t>LUPUS ARTEF METALURGICOS LTDA</t>
  </si>
  <si>
    <t>15-3384-8484</t>
  </si>
  <si>
    <t>CRISTIANE</t>
  </si>
  <si>
    <t xml:space="preserve">Está tratando com a Catia._x000D_
_x000D_
</t>
  </si>
  <si>
    <t>16:49:15</t>
  </si>
  <si>
    <t>LADDER AUTOMACAO INDUSTRIAL LTDA</t>
  </si>
  <si>
    <t>11-4224-0300</t>
  </si>
  <si>
    <t>Falei com Jeferson de ele informou que não tratam deste assunto por telefone apenas por e-mail e para mandar este o assunto no e-mail passado e a pessoa responsavél vai responder se tiver interesse. Mas não quis passar o nome do responsável.</t>
  </si>
  <si>
    <t>03/07/2019</t>
  </si>
  <si>
    <t>12955885000161</t>
  </si>
  <si>
    <t>LOTUSBLUME COMERCIAL TEXTIL LTDA</t>
  </si>
  <si>
    <t>11-2021-0120</t>
  </si>
  <si>
    <t>ninguem atende.</t>
  </si>
  <si>
    <t>43574433000163</t>
  </si>
  <si>
    <t>OFERTA MONITORAMENTO</t>
  </si>
  <si>
    <t>FIORELLA PROD TEXTEIS LTDA</t>
  </si>
  <si>
    <t>11-4718-8000</t>
  </si>
  <si>
    <t>ja utiliza os serviços da Serasa e não tem interesse me fazer monitoramento.</t>
  </si>
  <si>
    <t>16667539000139</t>
  </si>
  <si>
    <t>TIDAS TECNOLOGIA LTDA ME</t>
  </si>
  <si>
    <t>GEISON</t>
  </si>
  <si>
    <t>3</t>
  </si>
  <si>
    <t>47-3520-6868</t>
  </si>
  <si>
    <t>04114308000119</t>
  </si>
  <si>
    <t>AMOR DOMINI SERVIÇOS POSTUMOS E SOCIAS LTDA</t>
  </si>
  <si>
    <t>49-3222-5533</t>
  </si>
  <si>
    <t>gerencia@parquedasaudadelages.com.br</t>
  </si>
  <si>
    <t>admgeral@parquedasaudadelages.com.br</t>
  </si>
  <si>
    <t>precisam de clientes acima de 40 anos_x000D_
com renda_x000D_
filtro de risco._x000D_
_x000D_
vao verificar a possibilidade de enviar banco de dados._x000D_
49-99154-5533 Telefone do Gino_x000D_
49-99982-5927 Telefone Rachel</t>
  </si>
  <si>
    <t>68059674000103</t>
  </si>
  <si>
    <t>GEVISA S/A</t>
  </si>
  <si>
    <t>09/07/2019</t>
  </si>
  <si>
    <t>17919549000187</t>
  </si>
  <si>
    <t>IND PAPEIS P/ EMB IRMAOS SIQUEIRA LTDA</t>
  </si>
  <si>
    <t>76360874000111</t>
  </si>
  <si>
    <t>INPLAVEL IND PLAST LTDA</t>
  </si>
  <si>
    <t>MOACIR</t>
  </si>
  <si>
    <t>47-3439-5454</t>
  </si>
  <si>
    <t>moacir.financeiro@implavel.com.br</t>
  </si>
  <si>
    <t>Secretaria foi passar o telefone e o Moacir falou que esta sendo bem atendido e não tem interesse de trocar no momento.</t>
  </si>
  <si>
    <t>19-2102-8555</t>
  </si>
  <si>
    <t>ninguém atende_x000D_
_x000D_
ninguem atende.</t>
  </si>
  <si>
    <t>10:59:41</t>
  </si>
  <si>
    <t>KARINA</t>
  </si>
  <si>
    <t>11-2954-6248</t>
  </si>
  <si>
    <t>35-3371-2323</t>
  </si>
  <si>
    <t>ninguem atende._x000D_
_x000D_
Ligar amanhã a responsável é a Karina</t>
  </si>
  <si>
    <t>11:32:38</t>
  </si>
  <si>
    <t>47-99153-8778</t>
  </si>
  <si>
    <t>whasApp. Geison</t>
  </si>
  <si>
    <t xml:space="preserve">Plastic Mangueiras_x000D_
faz de 180 a 200 consultas_x000D_
Faz a consulta Gold com comportamento de pagamento/ paga R$7,09, nunca mudou para a Serasa porque nunca chegaram no valor que ela paga._x000D_
_x000D_
Enviei e-mail pedindo se faz reciprocidade._x000D_
_x000D_
Enviado proposta com 74% de desconto._x000D_
_x000D_
enviado solicitação de costumização para ver se Charlene aprova, aguardando posição da Chrlene, Pedi para o Ronaldo uma ajuda para envio de proposta, desconto não aprovado._x000D_
</t>
  </si>
  <si>
    <t>Responsavel estava em horário de almoço retornar depois de uns 40 minutos. _x000D_
_x000D_
Falei com a Ilan  e ela falou que não fechou com a Serasa porque os valores ficaram  muito diferente dos valores que ela paga opara a Boa Vista, se chegarem ao valor que ela paga, ela muda sem problema nenhum._x000D_
_x000D_
Mandei proposta com 60% de desconto e junto solicitei a cópia da fatura._x000D_
Mandei e-mail pedindo feedback._x000D_
Mandei e-mail ecerrando o contato.</t>
  </si>
  <si>
    <t>10:57:34</t>
  </si>
  <si>
    <t>Mandar uma proposta em cima da média de consulta, se a proposta for boa ela retorna o contato por e-mail._x000D_
_x000D_
e-mail de proposta enviada._x000D_
 Mandei e-mail pendidno feedback, leu mas ainda não respondeu._x000D_
Mandei e-mail encerrando o contato.</t>
  </si>
  <si>
    <t>10:58:55</t>
  </si>
  <si>
    <t>Pediu para eu mandar uma proposta em cima da quantidade média que ela faz que ela passa a proposta para o diretor analisar e descidir._x000D_
_x000D_
e-mail enviado._x000D_
_x000D_
Mandei e-mail pedindo feedback._x000D_
mandei e-mail encerrando o contato.</t>
  </si>
  <si>
    <t>11:04:28</t>
  </si>
  <si>
    <t>Fernanda pediu para eu mandar um proposta para ela analisar. paga todo mês os 267 e nunca passa do pacote contratado._x000D_
_x000D_
e-mail enviado._x000D_
_x000D_
Mandei e-mail pedindo feedback, leu e ainda não respondeu._x000D_
Mandei e-mail encerrando o contato.</t>
  </si>
  <si>
    <t>11:08:11</t>
  </si>
  <si>
    <t>PIRATA</t>
  </si>
  <si>
    <t>998</t>
  </si>
  <si>
    <t>financeiro@starracer.com.br</t>
  </si>
  <si>
    <t>ricardo@plastidur.com.br</t>
  </si>
  <si>
    <t>resposnsável não estava na empresa retornara a tarde._x000D_
_x000D_
retornar na segunda não estava mais na empresa_x000D_
_x000D_
retornar em outros horario o responsavel não tem hora certa para estar na empresa._x000D_
_x000D_
Mandei e-mail pedindo atendimento_x000D_
Nenhuma posição.</t>
  </si>
  <si>
    <t>14:30:02</t>
  </si>
  <si>
    <t xml:space="preserve">ligar no periodo da manha para falar com o diretor, no momento da ligação ele não estava._x000D_
_x000D_
Secretaria falou que é dificil contato com ele e que o jeito mais facil de contato e por e-mail caso ele não responda é para retornar na segunda-feira._x000D_
_x000D_
Mandei e-mail pedindo atendimento._x000D_
nenhuma posição nem leu o e-mail._x000D_
</t>
  </si>
  <si>
    <t>14:34:37</t>
  </si>
  <si>
    <t>Dependendo do valor que  a gente for cobrar eles podem fazer a migração, mandei e-mail pedindo mais detalhes da utilização porque no momento da ligação não foi passado._x000D_
_x000D_
mandei e-mail pedindo feedback._x000D_
17874860000157 Brassoldas. mandei para análise.</t>
  </si>
  <si>
    <t>15:40:50</t>
  </si>
  <si>
    <t>Define Risco, mandar proposta crednet porque ela utiliza mais consultas basicas._x000D_
_x000D_
e-mail enviado com proposta._x000D_
_x000D_
Mandei e-mail pedindo feedback._x000D_
reenviei não tive nenhuma posição._x000D_
Respondeu que o mercadio esta parado e que assim que movimentar ela reve esta assunto.</t>
  </si>
  <si>
    <t>15:41:46</t>
  </si>
  <si>
    <t>falei com a resposnsavel e mandei e-mail com oferta._x000D_
_x000D_
Mandei e-mail pedindo feedback._x000D_
reenviei e-mail pedindo posição.</t>
  </si>
  <si>
    <t>15:43:28</t>
  </si>
  <si>
    <t>micheli.teleimport@gmail.com</t>
  </si>
  <si>
    <t>62195177000148</t>
  </si>
  <si>
    <t>rafael@sevenmed.com.br</t>
  </si>
  <si>
    <t>Retornar a tarde procurar por Rafael ele se encontra a partir das 14:00._x000D_
_x000D_
10 e na outra 7_x000D_
_x000D_
Proposta enviado de R$98,00 com 35%.</t>
  </si>
  <si>
    <t>17:03:07</t>
  </si>
  <si>
    <t>Agendado Visita para dia 25/07._x000D_
Ronaldo e Charlene.</t>
  </si>
  <si>
    <t>17:27:22</t>
  </si>
  <si>
    <t>43296599000165</t>
  </si>
  <si>
    <t>MINERIOS OURO BRANCO LTDA</t>
  </si>
  <si>
    <t>DANIELLE</t>
  </si>
  <si>
    <t>11-3986-6101</t>
  </si>
  <si>
    <t>Secretária Isabella, falou que utiliza Serasa._x000D_
_x000D_
retornara a tarde.</t>
  </si>
  <si>
    <t>12/07/2019</t>
  </si>
  <si>
    <t>01883423000160</t>
  </si>
  <si>
    <t>IND COM PLAST ZANINI LTDA</t>
  </si>
  <si>
    <t>SERGIO</t>
  </si>
  <si>
    <t>48-3466-0399</t>
  </si>
  <si>
    <t>85294759000187</t>
  </si>
  <si>
    <t>FEELING ESTOF LTDA</t>
  </si>
  <si>
    <t>47-3376-9300</t>
  </si>
  <si>
    <t>financeiro@feelingestofados.com.br</t>
  </si>
  <si>
    <t>A secretaria falou, que eles não tem interesse, e que era pra eu mandar e-mail para quando eles tiverem interesse entrar em contato.</t>
  </si>
  <si>
    <t>10548541000102</t>
  </si>
  <si>
    <t>SILVA COMÉRCIO E DISTRIBUIÇÃO DE SELANTES LTDA</t>
  </si>
  <si>
    <t>EMERSON</t>
  </si>
  <si>
    <t>49-3225-3114</t>
  </si>
  <si>
    <t>Emerson não estava._x000D_
retornar na segunda.</t>
  </si>
  <si>
    <t>01379987000160</t>
  </si>
  <si>
    <t>INDALTEX COMERCIO E SERVICOS LTDA</t>
  </si>
  <si>
    <t>Falou que não tem interesse em ter contrato com a Serasa e falou que não tem motivo nenhum apenas não querem.</t>
  </si>
  <si>
    <t>08762826000108</t>
  </si>
  <si>
    <t>L&amp;R BORGES INDUSTRIA COMERCIO EXPORTACAO E IMPORTA</t>
  </si>
  <si>
    <t>1100</t>
  </si>
  <si>
    <t>48-3254-7700</t>
  </si>
  <si>
    <t>contasareceber@hidrolight.com.br</t>
  </si>
  <si>
    <t>Hidrolight do Brasil _x000D_
_x000D_
Mandei proposta dia 07/05 e agora mandei um e-mail pedindo um feedback.</t>
  </si>
  <si>
    <t>16:30:53</t>
  </si>
  <si>
    <t>71966436000188</t>
  </si>
  <si>
    <t>KA SOLUTION TECNOLOGIA EM SOFTWARE LTDA</t>
  </si>
  <si>
    <t>RENATA</t>
  </si>
  <si>
    <t>110</t>
  </si>
  <si>
    <t>11-5061-1616</t>
  </si>
  <si>
    <t>renatac@kasolution.com.br</t>
  </si>
  <si>
    <t>Renata falou que vai passar a proposta para a gerente dela e se ouver interesse da Ka Solution ela me mantem informado..</t>
  </si>
  <si>
    <t>13:45:31</t>
  </si>
  <si>
    <t>150</t>
  </si>
  <si>
    <t>R$ 2.000,00</t>
  </si>
  <si>
    <t>08930759000185</t>
  </si>
  <si>
    <t>FORVET COMERCIO IMPORTACAO E EXPORTACAO DE PRODUTO</t>
  </si>
  <si>
    <t>11-4178-7041</t>
  </si>
  <si>
    <t>ritagaiao@terra.com.br</t>
  </si>
  <si>
    <t>A secretaria falou utilizam os serviços do SPC._x000D_
_x000D_
Mandei proposta de 764,00 com 35% de desconto._x000D_
_x000D_
Pedi para a Rita se podia agendar um call.</t>
  </si>
  <si>
    <t>70</t>
  </si>
  <si>
    <t>16/07/2019</t>
  </si>
  <si>
    <t>03140352000130</t>
  </si>
  <si>
    <t>FONTE FOMENTO E COBRANCA MERCANTIL LTDA ME</t>
  </si>
  <si>
    <t>GILDA</t>
  </si>
  <si>
    <t>47-3425-0156</t>
  </si>
  <si>
    <t>Falou que esta bem atendida pelo boa vista, e não tem interesse no momento e se eu quiser ligar mês que vem para fazer novo contato e ver se mudou a vontade deles fica a nosso critério._x000D_
_x000D_
Ela acha que a Boa Vista compra as informações da Serasa. E ainda teima que sim.</t>
  </si>
  <si>
    <t>55783898000103</t>
  </si>
  <si>
    <t>FARBAPLAST INDL COML LTDA</t>
  </si>
  <si>
    <t>KATIA</t>
  </si>
  <si>
    <t>300</t>
  </si>
  <si>
    <t>R$ 4,09</t>
  </si>
  <si>
    <t>11-4051-2911</t>
  </si>
  <si>
    <t>contasareceber@castor.com.br</t>
  </si>
  <si>
    <t xml:space="preserve">Falei com a Katia, e ela falou que precisa da informação de comportamento de pagamento e informações de sócios._x000D_
_x000D_
MAndei e-mail pedido se faz reciprocidade._x000D_
</t>
  </si>
  <si>
    <t>50154061000181</t>
  </si>
  <si>
    <t>FESTPAN ALIM IMP EXP LTDA</t>
  </si>
  <si>
    <t>EDNA</t>
  </si>
  <si>
    <t>11-4390-3000</t>
  </si>
  <si>
    <t>cobranca7@festpan.com.br</t>
  </si>
  <si>
    <t>tinha contrato 2008 27/06/2008_x000D_
hoje certificado TOP PME_x000D_
_x000D_
Falou que ja esta negociando com o representante Alexandre e o contrato ja esta na mase diretora.</t>
  </si>
  <si>
    <t>78255916000180</t>
  </si>
  <si>
    <t>FIEDLER AUTOM INDL LTDA</t>
  </si>
  <si>
    <t>YUDI</t>
  </si>
  <si>
    <t>47-3144-5000</t>
  </si>
  <si>
    <t>jk@fiedler.com.br</t>
  </si>
  <si>
    <t>falou que no momento não tem interesse em fazer mudança de bureu de crédito.</t>
  </si>
  <si>
    <t>17/07/2019</t>
  </si>
  <si>
    <t>02840044000155</t>
  </si>
  <si>
    <t>GP CABOS IND COM LTDA</t>
  </si>
  <si>
    <t>JESSICA</t>
  </si>
  <si>
    <t>11-2967-4711</t>
  </si>
  <si>
    <t>tiveram bastante problemas com a Serasa e a diretoria não tem interesse em retornar.</t>
  </si>
  <si>
    <t>58841081000132</t>
  </si>
  <si>
    <t>IMCAL - IND MOVEIS CANEIRA LTDA</t>
  </si>
  <si>
    <t>JUNIOR</t>
  </si>
  <si>
    <t>17-3283-9100</t>
  </si>
  <si>
    <t>financeiro@imcal.com.br</t>
  </si>
  <si>
    <t>O Junior estava em reunião e não podia atender no momento da ligação, a secretaria pediu para eu mandar um e-mail que seria mais facil ter contato com ele poe este canal._x000D_
_x000D_
mandei e-mail pedindo para agendar um call.</t>
  </si>
  <si>
    <t>8877357</t>
  </si>
  <si>
    <t>FUFFY INDUSTRIA E COMERCIO DE CALCADOS LTDA EPP</t>
  </si>
  <si>
    <t>EDMAR</t>
  </si>
  <si>
    <t>18-3642-7397</t>
  </si>
  <si>
    <t>edimarfuffy.com.br</t>
  </si>
  <si>
    <t>Valida Turbo_x000D_
_x000D_
Edimar falou que a empresa e muito pequena e faz bem poucas consultas, não ultiliza nem mesmo o pacote que tem com a associação da cidade.</t>
  </si>
  <si>
    <t>51091478</t>
  </si>
  <si>
    <t>DANZER INDUSTRIA E COMERCIO DE CALCADOS LTDA</t>
  </si>
  <si>
    <t>18-3642-1955</t>
  </si>
  <si>
    <t>81557472</t>
  </si>
  <si>
    <t>CEFRAM MADEIRAS LTDA</t>
  </si>
  <si>
    <t>NILCE</t>
  </si>
  <si>
    <t>R$ 95,00</t>
  </si>
  <si>
    <t>49-3223-3223</t>
  </si>
  <si>
    <t>nilce@cefram.com.br</t>
  </si>
  <si>
    <t>Celso ou Dona Mercedes_x000D_
Básica._x000D_
_x000D_
mandei proposta de parceria valor R$62,00 com 30% de desconto.</t>
  </si>
  <si>
    <t>21144090</t>
  </si>
  <si>
    <t>M7 INDUSTRIA E COMERCIO DE COMPENSADOS E LAMINADOS LTDA</t>
  </si>
  <si>
    <t>49-3227-3845</t>
  </si>
  <si>
    <t>SANDRA</t>
  </si>
  <si>
    <t>Liguei e era pra retornar mais tarde._x000D_
retornei mas ninguem atende._x000D_
_x000D_
Só faz exportação, não utiliza os serviços de consulta.</t>
  </si>
  <si>
    <t>10:27:40</t>
  </si>
  <si>
    <t>ASSOCIAÇÃO</t>
  </si>
  <si>
    <t>retornar a tarde, estavam em reunião._x000D_
liguei a tarde ja tinham saido retornar as 8:00_x000D_
_x000D_
Uitliza através de um convenio com o Sindicato dos calçados, retornar mais tarde e falar com a Elisangela.</t>
  </si>
  <si>
    <t>10:45:48</t>
  </si>
  <si>
    <t>3717276</t>
  </si>
  <si>
    <t>CH TECNOLOGIA LTDA EPP</t>
  </si>
  <si>
    <t>THAIS</t>
  </si>
  <si>
    <t>31-3311-0800</t>
  </si>
  <si>
    <t>thais.soares@chtecnologia.com.br</t>
  </si>
  <si>
    <t>Falei com Amanda que pediu para eu mandar um e-mail ou ligar mais tarde para falar com Thais._x000D_
_x000D_
mandei e-mail pedindo atendimento.</t>
  </si>
  <si>
    <t>18/07/2019</t>
  </si>
  <si>
    <t>61147757000105</t>
  </si>
  <si>
    <t>METALURGICA ROA IND COM LTDA</t>
  </si>
  <si>
    <t>CAROL E CRISTINA</t>
  </si>
  <si>
    <t>R$ 900,00</t>
  </si>
  <si>
    <t>11-3809-7640</t>
  </si>
  <si>
    <t>cristina@roa.com.br</t>
  </si>
  <si>
    <t>financeiro@roa.com.br</t>
  </si>
  <si>
    <t xml:space="preserve">Falei com Fabiana_x000D_
_x000D_
</t>
  </si>
  <si>
    <t>07175512000138</t>
  </si>
  <si>
    <t>FLATS SERVICOS DE INTERMEDIACAO DE NEGOCIOS LTDA</t>
  </si>
  <si>
    <t>BARBARA</t>
  </si>
  <si>
    <t>11-3885-0846</t>
  </si>
  <si>
    <t>barbara@net.com.br</t>
  </si>
  <si>
    <t>não estava mais na empresa retornar amanha de manha a partir das 9:00</t>
  </si>
  <si>
    <t>MONITORAMENTO E PEFIN</t>
  </si>
  <si>
    <t>H. LOUIS BAXMANN PROD METALURG LTDA</t>
  </si>
  <si>
    <t>LETICIA</t>
  </si>
  <si>
    <t>11-4674-1277</t>
  </si>
  <si>
    <t>Leticia falou que ja utiliza Serasa Experian e não precisa de outros serviços.</t>
  </si>
  <si>
    <t>22/07/2019</t>
  </si>
  <si>
    <t>55014617000158</t>
  </si>
  <si>
    <t>03601330000120</t>
  </si>
  <si>
    <t>EURO COMERCIO EXTERIOR EIRELI</t>
  </si>
  <si>
    <t>HENRIQUE</t>
  </si>
  <si>
    <t>11-4800-4500</t>
  </si>
  <si>
    <t>retornar a tarde só vem a tarde.</t>
  </si>
  <si>
    <t>01697279000177</t>
  </si>
  <si>
    <t>HYDAC TECNOLOGIA LTDA</t>
  </si>
  <si>
    <t>11-4393-6600</t>
  </si>
  <si>
    <t>Ja utiliza os serviços da Serasa e tem um gerente que atende eles, semana passad até cancelaram um serviço quie tinha contratado enão era tão bom.</t>
  </si>
  <si>
    <t>83413328</t>
  </si>
  <si>
    <t>TRANSPORTADORA COMERCIAL QUIOCA LTDA EPP</t>
  </si>
  <si>
    <t>FERNANDO</t>
  </si>
  <si>
    <t>49-3521-9009</t>
  </si>
  <si>
    <t>Não utiliza não tem necessidade</t>
  </si>
  <si>
    <t>81597338</t>
  </si>
  <si>
    <t>AGE COMBUSTIVEIS LTDA</t>
  </si>
  <si>
    <t>49-3521-0166</t>
  </si>
  <si>
    <t>Ninguem atende o telefone._x000D_
_x000D_
Valida Turbo.</t>
  </si>
  <si>
    <t>54481148000203</t>
  </si>
  <si>
    <t>ESTRUTURAL MONTAGENS EMPREEND LTDA</t>
  </si>
  <si>
    <t>11-3931-0231</t>
  </si>
  <si>
    <t>ninguem atende o telefone.</t>
  </si>
  <si>
    <t>03886705000146</t>
  </si>
  <si>
    <t>INDUSTRIAS RAYMOUNDS EIRELI</t>
  </si>
  <si>
    <t>11-4012-1100</t>
  </si>
  <si>
    <t>sandra@raymounds.com.br</t>
  </si>
  <si>
    <t>diz que não tem interesse em fazer parceria com a Serasa está muito bem atendida com a Boa Vista, mandei meu contato para ela salvar caso precise futuramente.</t>
  </si>
  <si>
    <t>54768148000108</t>
  </si>
  <si>
    <t>FOGOES SHOP LTDA EPP</t>
  </si>
  <si>
    <t>REINALDO</t>
  </si>
  <si>
    <t>11-3034-2465</t>
  </si>
  <si>
    <t>retornar as 16:00.</t>
  </si>
  <si>
    <t>01823999000131</t>
  </si>
  <si>
    <t>IND COM ROUPAS TEMAPLUS LTDA</t>
  </si>
  <si>
    <t>11-2694-4597</t>
  </si>
  <si>
    <t xml:space="preserve">Ninguem atende o telefone._x000D_
</t>
  </si>
  <si>
    <t>11164128000107</t>
  </si>
  <si>
    <t>GLASS VALE INDUSTRIA E COMERCIO DE VIDROS LTDA EPP</t>
  </si>
  <si>
    <t>JEAN</t>
  </si>
  <si>
    <t>12-2134-4800</t>
  </si>
  <si>
    <t>jeancarlo@glassvale.com.br</t>
  </si>
  <si>
    <t>O responsável não estava na empresa, retornar amanhã.</t>
  </si>
  <si>
    <t>52060498000181</t>
  </si>
  <si>
    <t>MADEIREIRA LANO LTDA</t>
  </si>
  <si>
    <t>11-4061-1120</t>
  </si>
  <si>
    <t>retornar as 16:30 estava em outra ligação.</t>
  </si>
  <si>
    <t>12350642000108</t>
  </si>
  <si>
    <t>INDUSTRIA CARIMBRAS</t>
  </si>
  <si>
    <t>42-3235-7500</t>
  </si>
  <si>
    <t>480542000109</t>
  </si>
  <si>
    <t>RINQUEDOS ANJO - ANJO - INDUSTRIA E COMERCIO DE PLASTICOS LTDA</t>
  </si>
  <si>
    <t>REINANDO</t>
  </si>
  <si>
    <t>15-3383-9988</t>
  </si>
  <si>
    <t>Ja utiliza Serasa e é atendido por uma gerente.</t>
  </si>
  <si>
    <t>75755447</t>
  </si>
  <si>
    <t>T F PAPER BRASIL LTDA</t>
  </si>
  <si>
    <t xml:space="preserve">42-3229-4646 </t>
  </si>
  <si>
    <t>Telefone cai no Subway e não encontrei outro telefone_x000D_
valida turbo</t>
  </si>
  <si>
    <t>7475073</t>
  </si>
  <si>
    <t>TRANSPORTADORA SCHRAIER LTDA ME</t>
  </si>
  <si>
    <t>JOAO</t>
  </si>
  <si>
    <t>42-3028-0006</t>
  </si>
  <si>
    <t>farinheirousa@hotmail.com</t>
  </si>
  <si>
    <t>Mandar proposta por e-mail._x000D_
Valida Turbo.</t>
  </si>
  <si>
    <t>17:06:39</t>
  </si>
  <si>
    <t>53736161000104</t>
  </si>
  <si>
    <t xml:space="preserve"> ASCA BRINQUEDOS LTDA</t>
  </si>
  <si>
    <t>CAMILA</t>
  </si>
  <si>
    <t>19-3541-0100</t>
  </si>
  <si>
    <t>vendas@ascatoys.com</t>
  </si>
  <si>
    <t>00142835000186</t>
  </si>
  <si>
    <t>A S F &amp; JR INDUSTRIA PLASTICA LTDA</t>
  </si>
  <si>
    <t>WAGNER</t>
  </si>
  <si>
    <t>11-2085-4190</t>
  </si>
  <si>
    <t>retornar amanha não estava mais na empresa.</t>
  </si>
  <si>
    <t>58516881</t>
  </si>
  <si>
    <t>HUSK ELETROMETALURGICA LTDA</t>
  </si>
  <si>
    <t>ADILSON</t>
  </si>
  <si>
    <t>11-3611-6193</t>
  </si>
  <si>
    <t>adilson@husk.com.br</t>
  </si>
  <si>
    <t>Se faz 5 consultas no ano é muito, por em quanto não é viavel.</t>
  </si>
  <si>
    <t>44701662</t>
  </si>
  <si>
    <t>CERAMICA ANTIGUA INDUSTRIA E COMERCIO LTDA</t>
  </si>
  <si>
    <t>19-35434211</t>
  </si>
  <si>
    <t>23/07/2019</t>
  </si>
  <si>
    <t>responsavel estava ocupado._x000D_
Valida Turbo</t>
  </si>
  <si>
    <t>09:50:20</t>
  </si>
  <si>
    <t>06273302000110</t>
  </si>
  <si>
    <t>BIG BOX BRASIL IND. E COM. LTDA</t>
  </si>
  <si>
    <t>11-2412-7952</t>
  </si>
  <si>
    <t>Recepcionista falou que fecharam um contrato com a Serasa recentemente.</t>
  </si>
  <si>
    <t>62176615000120</t>
  </si>
  <si>
    <t>BRASKIT ND. COM. BRINQUEDOS LTDA LTDA</t>
  </si>
  <si>
    <t>11-4649-6646</t>
  </si>
  <si>
    <t>secretaria falou que ja utiliza serviços da Serasa</t>
  </si>
  <si>
    <t>22647880000125</t>
  </si>
  <si>
    <t xml:space="preserve"> BRINQUEDOS COMETA LTDA</t>
  </si>
  <si>
    <t>Mandar e-mail pedindo atendimento, secretaria não quis passar a ligação.</t>
  </si>
  <si>
    <t>15:22:57</t>
  </si>
  <si>
    <t>59920405000190</t>
  </si>
  <si>
    <t>BRINQUEDOS DIVPLAST LTDA</t>
  </si>
  <si>
    <t>11-40243920</t>
  </si>
  <si>
    <t>Falei com a responsavel que informou que o representante que é responsavel por fazer as consultas.</t>
  </si>
  <si>
    <t>60882354000139</t>
  </si>
  <si>
    <t>BRINQUEDOS HORIZONTE INDUSTRIA E COMERCIO LTDA ME</t>
  </si>
  <si>
    <t>11-4021-0782</t>
  </si>
  <si>
    <t>57824161000117</t>
  </si>
  <si>
    <t>BRINQUEDOS MARALEX EIRELI - EPP</t>
  </si>
  <si>
    <t>15-3383-9500</t>
  </si>
  <si>
    <t>62596911000180</t>
  </si>
  <si>
    <t>BRINQUEDOS PLASTILINDO LTDA</t>
  </si>
  <si>
    <t>RENATO</t>
  </si>
  <si>
    <t>11-4191-1271</t>
  </si>
  <si>
    <t>O responsavel estava em viagem retornar na data agendada.</t>
  </si>
  <si>
    <t xml:space="preserve"> 11894930000152</t>
  </si>
  <si>
    <t>BRINQUEDOS ZUCATOYS INDUSTRIA E COMERCIO LTDA - EPP</t>
  </si>
  <si>
    <t>16-3810-7000</t>
  </si>
  <si>
    <t>alineberdusco@zucatoys.com.br</t>
  </si>
  <si>
    <t>mandar e-mail pedindo atendimento, secretaria não tem autorização para passar a ligação primeiro contato tem que ser por e-mail._x000D_
_x000D_
e-mail enviado</t>
  </si>
  <si>
    <t>51474716000161</t>
  </si>
  <si>
    <t>METALURGICA TUZZI LIMITADA</t>
  </si>
  <si>
    <t>ELIANE</t>
  </si>
  <si>
    <t>16-3810-7055</t>
  </si>
  <si>
    <t>elaine.tavares@tuzzi.com.br</t>
  </si>
  <si>
    <t xml:space="preserve">Mandar e-mail em cima da média de consultas passadas._x000D_
_x000D_
Enviado proposta com 3 opção:_x000D_
opção 1, 364,00 com 30% OFF_x000D_
opção 2, 764,00 com 35% OFF_x000D_
opção 3, 1.000,00 com 45% OFF_x000D_
</t>
  </si>
  <si>
    <t>1000</t>
  </si>
  <si>
    <t>17:56:22</t>
  </si>
  <si>
    <t>fazem de 5 a 10 consultas, mas vão aumentar de 15 a 20._x000D_
_x000D_
Mandei proposta com duas proposta uma de 10 consultas e outra de 20 consultas._x000D_
_x000D_
Precisam de um relatorio completo. mandei propos ta com duas opções. basicas e completas.</t>
  </si>
  <si>
    <t>10:33:55</t>
  </si>
  <si>
    <t>retornar as 16:40 falar com o responsavel, estava em reunião._x000D_
_x000D_
retronar após as 13:00</t>
  </si>
  <si>
    <t>10:36:54</t>
  </si>
  <si>
    <t>01537246000160</t>
  </si>
  <si>
    <t>BS TOYS INDUSTRIA E COMERCIO DE BRINQUEDOS LTDA</t>
  </si>
  <si>
    <t>CRISTINA</t>
  </si>
  <si>
    <t>15-3326-2254</t>
  </si>
  <si>
    <t>credito@bstoys.com.br</t>
  </si>
  <si>
    <t>primeiro contato somente por e-mail._x000D_
_x000D_
e-mail enviado.</t>
  </si>
  <si>
    <t>24/07/2019</t>
  </si>
  <si>
    <t>00202187000106</t>
  </si>
  <si>
    <t>CALESITA INDÚSTRIA DE BRINQUEDOS</t>
  </si>
  <si>
    <t>GEZIANE</t>
  </si>
  <si>
    <t>47-3242-2222</t>
  </si>
  <si>
    <t>quando liguei ja tinha solicitado o cancelamento do serviço com a serasa, tinha mudado para a concorrencia.</t>
  </si>
  <si>
    <t>57464109000105</t>
  </si>
  <si>
    <t>CARDOSO IND. COM. PLAST. LTDA.</t>
  </si>
  <si>
    <t>11-2132-9455</t>
  </si>
  <si>
    <t>falei com a responsável e a mesma me falou que utiliza Serasa e é atendida por Alexandre.</t>
  </si>
  <si>
    <t>00684106000151</t>
  </si>
  <si>
    <t>CENTRAL LA RUEDITA DISTRIBUIDORA LTDA ME</t>
  </si>
  <si>
    <t>central@ruedita.com.br</t>
  </si>
  <si>
    <t>41-3653-2323</t>
  </si>
  <si>
    <t>Secretaria falou que ela ja utiliza Serasa, mas está dando venda liberada._x000D_
Mandei e-mail solicitando atendimento.</t>
  </si>
  <si>
    <t>11:19:07</t>
  </si>
  <si>
    <t>serasa</t>
  </si>
  <si>
    <t>4664637000133</t>
  </si>
  <si>
    <t xml:space="preserve">COPAG DA AMAZÔNIA S/A </t>
  </si>
  <si>
    <t>LUIz</t>
  </si>
  <si>
    <t>11-2164-3650</t>
  </si>
  <si>
    <t>falei com o Luis e ele me falou que utilizam os dois Serasa e Boa Vista.</t>
  </si>
  <si>
    <t>48725956000187</t>
  </si>
  <si>
    <t>COTIPLAS IND E COMERCIO DE ARTEFATOS PLASTICOS LTDA</t>
  </si>
  <si>
    <t>15-3383-9100</t>
  </si>
  <si>
    <t>90987595000103</t>
  </si>
  <si>
    <t>DISMAT - INDUSTRIA DE BRINQUEDOS LTDA</t>
  </si>
  <si>
    <t>proposta@dismat.com.br</t>
  </si>
  <si>
    <t>primeiro contato por e-mail._x000D_
_x000D_
e-mail mandado.</t>
  </si>
  <si>
    <t>67025452000107</t>
  </si>
  <si>
    <t>DISTRIBUIDORA SULAMERICANA IMP. EXP. LTDA.</t>
  </si>
  <si>
    <t>MIRANDA</t>
  </si>
  <si>
    <t>11-3611-6616</t>
  </si>
  <si>
    <t>miranda@sulamericanas.com.br</t>
  </si>
  <si>
    <t>11-9-9260-5593 (Whats App)_x000D_
_x000D_
Faz de 20 a 30 consultas mês.</t>
  </si>
  <si>
    <t>08816636000118</t>
  </si>
  <si>
    <t>DIVERTOYS IND. E COM. LTDA</t>
  </si>
  <si>
    <t>ABEL</t>
  </si>
  <si>
    <t>15-3383-9600</t>
  </si>
  <si>
    <t>retornar após as 15:00, o responsavel não estava ne empresa.</t>
  </si>
  <si>
    <t>70939574000296</t>
  </si>
  <si>
    <t>FABRICA DE ARTEF. DE LATEX SÃO ROQUE S/A</t>
  </si>
  <si>
    <t>CRISTIANO</t>
  </si>
  <si>
    <t>11-4713-5000</t>
  </si>
  <si>
    <t>Falei com o responsavel e o mesmo me falou que ja utiliza serasa.</t>
  </si>
  <si>
    <t>60643293000157</t>
  </si>
  <si>
    <t>ELKA PLASTICOS LTDA</t>
  </si>
  <si>
    <t>SYLVANE</t>
  </si>
  <si>
    <t>11-2238-5500</t>
  </si>
  <si>
    <t>sylvane@elka.com.br</t>
  </si>
  <si>
    <t>29154333000157.</t>
  </si>
  <si>
    <t>FLOC INDÚSTRIA IND. E COM. LTDA.</t>
  </si>
  <si>
    <t>telefone não encontrado, mas deixado recado com oferta no site.</t>
  </si>
  <si>
    <t>05608597000175</t>
  </si>
  <si>
    <t>VERONA INDUSTRIA DE PLASTICOS LTDA</t>
  </si>
  <si>
    <t>41-3513-9683</t>
  </si>
  <si>
    <t>GROW JOGOS E BRINQUEDOS LTDA</t>
  </si>
  <si>
    <t>11-4393-3048</t>
  </si>
  <si>
    <t>02458329000126</t>
  </si>
  <si>
    <t>IBB INDUSTRIA BRASILEIRA DE BRINQUEDOS LTDA</t>
  </si>
  <si>
    <t>18-3301-4160</t>
  </si>
  <si>
    <t>Falei com a Monica e ela me falou que usa serasa e é cliente coorporativo.</t>
  </si>
  <si>
    <t>15605065000138</t>
  </si>
  <si>
    <t>LHAS GALÁPAGOS COMÉRCIO DE BRINQUEDOS E SERVIÇOS LTDA</t>
  </si>
  <si>
    <t>11-25030130</t>
  </si>
  <si>
    <t>falei com o fernando e ele me falou que ja são clientes da Serasa._x000D_
URA engraçada</t>
  </si>
  <si>
    <t>KYOTO</t>
  </si>
  <si>
    <t>retonar as 15:00 falar com Leonardo._x000D_
utiliza Gade solution distribuidor_x000D_
faz bem poucas consultas não nem o minimo.</t>
  </si>
  <si>
    <t>16:07:33</t>
  </si>
  <si>
    <t>94326287000198</t>
  </si>
  <si>
    <t>INDUSTRIA DE BRINQUEDOS JUNGES LTDA</t>
  </si>
  <si>
    <t>51-3695-1654</t>
  </si>
  <si>
    <t>ligar daqui alguns minutos o responsavel estava em reuniao.</t>
  </si>
  <si>
    <t>13372976000137</t>
  </si>
  <si>
    <t>K SAAD BICICLETAS</t>
  </si>
  <si>
    <t>46</t>
  </si>
  <si>
    <t>19-3891-5589</t>
  </si>
  <si>
    <t>tatiane@verdenbike.com</t>
  </si>
  <si>
    <t>SCN_x000D_
JUNHO CREDIT BUREAU 13_x000D_
JUNHO RELATO 46 _x000D_
RELATO MAIS_x000D_
JULHO 146 CONSULTAS _x000D_
Usa distribuidor</t>
  </si>
  <si>
    <t>59400853000163</t>
  </si>
  <si>
    <t>LIDER INDUSTRIA COMERCIO E REPRESENTACOES DE BRINQUEDOS LTDA</t>
  </si>
  <si>
    <t>11-4544-1305</t>
  </si>
  <si>
    <t>02394305000150</t>
  </si>
  <si>
    <t>LUA DE CRISTAL IND. E COMÉRCIO DE BRINQUEDOS LTDA</t>
  </si>
  <si>
    <t>11-4448-2904</t>
  </si>
  <si>
    <t>kelly@luadecristal.com.br</t>
  </si>
  <si>
    <t>não atende o telefone primeiro contato apenas por e-mail._x000D_
_x000D_
mandei e-mail pedindo atendimento.</t>
  </si>
  <si>
    <t>17:02:50</t>
  </si>
  <si>
    <t>74638651000148</t>
  </si>
  <si>
    <t>MAGIC TOYS DO BRASIL IND. COMÉRCIO LTDA.</t>
  </si>
  <si>
    <t>11-2436-3800</t>
  </si>
  <si>
    <t>retornar amanhã o responsavel ja tinha ido embora</t>
  </si>
  <si>
    <t>IORGA OLEOS PROTETIVOS IND LTDA</t>
  </si>
  <si>
    <t>11-4012-3100</t>
  </si>
  <si>
    <t>financeiro@condat.com.br</t>
  </si>
  <si>
    <t>mandar a apresentação por e-mail primeiro contato so por e-mail.</t>
  </si>
  <si>
    <t>66681131000190</t>
  </si>
  <si>
    <t>INTAC COML &amp; IMPORTADORA LTDA</t>
  </si>
  <si>
    <t>DIANA</t>
  </si>
  <si>
    <t>retornar amanhã falar com a Diana.</t>
  </si>
  <si>
    <t>67869602000150</t>
  </si>
  <si>
    <t>LUNAMETAIS COM ACOS METAIS LTDA</t>
  </si>
  <si>
    <t>MATEUS</t>
  </si>
  <si>
    <t>11-5514-0060</t>
  </si>
  <si>
    <t>Faz consulta através de um outro CNPJ. Da Brasluna.</t>
  </si>
  <si>
    <t>25/07/2019</t>
  </si>
  <si>
    <t>60580768000103</t>
  </si>
  <si>
    <t>IRMAOS PERFEITO LTDA</t>
  </si>
  <si>
    <t>MARIA</t>
  </si>
  <si>
    <t>11-3395-4400</t>
  </si>
  <si>
    <t>maria@perfeito.com.br</t>
  </si>
  <si>
    <t>Falei com a Maria e ela falou que ja utiliza os Serviços da Serasa.</t>
  </si>
  <si>
    <t>16873897000106</t>
  </si>
  <si>
    <t>GROOVY FOREVER CONFECCOES LTDA EPP</t>
  </si>
  <si>
    <t>DOUGLAS</t>
  </si>
  <si>
    <t>11-3223-7423</t>
  </si>
  <si>
    <t xml:space="preserve">ja tuiliza o serviço de consulta via string disponibilizado através da softerhose._x000D_
</t>
  </si>
  <si>
    <t>95790523000195</t>
  </si>
  <si>
    <t>MOLDUNOBRE MOLDURAS LTDA</t>
  </si>
  <si>
    <t>48-3652-1193</t>
  </si>
  <si>
    <t>retornara a tarde._x000D_
retornei e ela estava em ligação com um cliente.</t>
  </si>
  <si>
    <t>67671222000107</t>
  </si>
  <si>
    <t>FRANGOESTE AVICULTURA LTDA</t>
  </si>
  <si>
    <t>15-3285-8200</t>
  </si>
  <si>
    <t>falei com o responsavel e ele utiliza os serviços direto com a Serasa.</t>
  </si>
  <si>
    <t>04948894000105</t>
  </si>
  <si>
    <t>GIASSI PACK LTDA</t>
  </si>
  <si>
    <t>ZILE</t>
  </si>
  <si>
    <t>48-3468-7000</t>
  </si>
  <si>
    <t>uitliza o serviço de consulta através de um outro cnpj.</t>
  </si>
  <si>
    <t>financeiro@ladder.com.br</t>
  </si>
  <si>
    <t>17:22:22</t>
  </si>
  <si>
    <t>82275918000108</t>
  </si>
  <si>
    <t>HIDROSP SIST HIDR LTDA</t>
  </si>
  <si>
    <t>11-3744-4467</t>
  </si>
  <si>
    <t>ligar a partir das 9:00.</t>
  </si>
  <si>
    <t>66886144000103</t>
  </si>
  <si>
    <t>43422278000160</t>
  </si>
  <si>
    <t>60582178000624</t>
  </si>
  <si>
    <t>43207646000157</t>
  </si>
  <si>
    <t>42981902000104</t>
  </si>
  <si>
    <t>958125</t>
  </si>
  <si>
    <t>EQUIBRASIL LTDA</t>
  </si>
  <si>
    <t>47-3521-7159</t>
  </si>
  <si>
    <t>Valida Turbo_x000D_
_x000D_
Não utiliza serviços de consulta tem cadastro com o CDL mas não utiliza so vende avista e no cartão.</t>
  </si>
  <si>
    <t>29/07/2019</t>
  </si>
  <si>
    <t>15533925</t>
  </si>
  <si>
    <t>NOVA PG MADEIRAS EIRELI ME</t>
  </si>
  <si>
    <t>47-3352-1816</t>
  </si>
  <si>
    <t>trabalha so de manhã.</t>
  </si>
  <si>
    <t>NICOLE DESCONTO</t>
  </si>
  <si>
    <t>GABRIELA JUK</t>
  </si>
  <si>
    <t>FERNANDA DESCONTO</t>
  </si>
  <si>
    <t>REGINALDO OU RAFAEL</t>
  </si>
  <si>
    <t>11:52:50</t>
  </si>
  <si>
    <t>Marilia pediu para eu retornar apóa o almoço, tem interesse as estava sem tempo para passar mais detalhes o horario que eu liguei._x000D_
_x000D_
mandei e-mail solicitando dados para elaborar uma proposta._x000D_
_x000D_
tentei contato e estava com problema na telefonia._x000D_
_x000D_
tentei contatio por telefone novamente sem sucesso._x000D_
20% completa 80 basica. Valor pago R$8,00 a R$10,00 basica e de R$12,00 a R$14,00 a  completa._x000D_
Enviado proposta em cima da valor médio gsato por mês.. esperando resposta cliente recebeu uma proposta melhor da Boa Vista</t>
  </si>
  <si>
    <t>13:52:21</t>
  </si>
  <si>
    <t>Retornar amanha falar com a Bianca não estava mais na empresa._x000D_
_x000D_
Bianca esta de farias a retorna no dia 24/06._x000D_
_x000D_
Falei com a Bianca e ela falou que é para eu falar com a Scheila utilizam apenas para RH, contato somente por e-mail. Mandei e-mail pedindo atendimento._x000D_
_x000D_
Mandei e-mail pedindo feed back.</t>
  </si>
  <si>
    <t>14:06:38</t>
  </si>
  <si>
    <t>retornar as 13:30 procurar por Monica, ainda não tinha chego quando liguei._x000D_
_x000D_
retornar na segunda, ja tinha ido embora._x000D_
_x000D_
retornar amanhã ja tinha ido embora._x000D_
_x000D_
Enviado proposta de para análise._x000D_
mandei e-mail pedindo um feedback/ enviado outro e-mail pedindo posição.</t>
  </si>
  <si>
    <t>14:10:52</t>
  </si>
  <si>
    <t>mandar e-mail pendido atendimento, a unica forma de primeiro contato é por e-mail._x000D_
_x000D_
mandei e-mail ofertando parceria._x000D_
_x000D_
Mandei e-mail com proposta com e sem fidelidade._x000D_
_x000D_
Mandei e-mail pedindo um feed Back.</t>
  </si>
  <si>
    <t>14:16:55</t>
  </si>
  <si>
    <t>86910353000144</t>
  </si>
  <si>
    <t>POLIVIDROS COMERCIAL LTDA</t>
  </si>
  <si>
    <t>JOSI</t>
  </si>
  <si>
    <t>47 3383-3600</t>
  </si>
  <si>
    <t>financeiro02@polividroscomercial.com.br</t>
  </si>
  <si>
    <t>0800 644 0111</t>
  </si>
  <si>
    <t>Primeiro contato por e-mail._x000D_
_x000D_
Mandado e-mail pedindo atendimento.</t>
  </si>
  <si>
    <t>30/07/2019</t>
  </si>
  <si>
    <t>51.323.061/0001-20</t>
  </si>
  <si>
    <t>A2 VIDROS</t>
  </si>
  <si>
    <t>11-3682-2529</t>
  </si>
  <si>
    <t>retornar no periodo da tarde, estavam em reunião._x000D_
_x000D_
Pedir para falar com o financeiro de manha falei com a Katia.</t>
  </si>
  <si>
    <t>31/07/2019</t>
  </si>
  <si>
    <t>00756110000188</t>
  </si>
  <si>
    <t>ALUSUPRA ALUMÍNIO</t>
  </si>
  <si>
    <t>48-3242-036</t>
  </si>
  <si>
    <t>suporte@alusupra.com.br</t>
  </si>
  <si>
    <t>Falei com o responsavel por TI e o mesmo falou que ia repassar o e-mail para o financeiro.</t>
  </si>
  <si>
    <t>09177724000180</t>
  </si>
  <si>
    <t>AMAZON TEMPER (SC)</t>
  </si>
  <si>
    <t>49-3433-7594</t>
  </si>
  <si>
    <t>financeiro1@amazontempersc.com.br</t>
  </si>
  <si>
    <t>Pedir informações por e-mail._x000D_
_x000D_
mandei e-mail pedindo atendimento</t>
  </si>
  <si>
    <t>05129413000194</t>
  </si>
  <si>
    <t>ART VIDROS</t>
  </si>
  <si>
    <t>FABRICIO</t>
  </si>
  <si>
    <t>48-3434-6900</t>
  </si>
  <si>
    <t>controladoria@artvidrosmf.com.br</t>
  </si>
  <si>
    <t xml:space="preserve">O responsavel estava em reunião e pediu para retornar após as 15:00._x000D_
80 a 100 consulta 80%_x000D_
_x000D_
</t>
  </si>
  <si>
    <t>14:42:51</t>
  </si>
  <si>
    <t xml:space="preserve">Utiliza Protector Brasil._x000D_
_x000D_
Faz uma média de 50 a 60 consultas por mês, mandar proposta em cima de consultas basicas e completas. Mandar e-mail a os cuidados de Jaqueline._x000D_
_x000D_
60 consultas Relato mais 998,00 40%_x000D_
60 consultas Crednet 364,00 35%._x000D_
Proposta enviada atraves do e-mail do Murilo._x000D_
_x000D_
Direto não quer Serasa nem de Graça._x000D_
</t>
  </si>
  <si>
    <t>14:44:02</t>
  </si>
  <si>
    <t>retornar no periodo da manhã, melhor horario 11:00, no momento da ligação o Paulo não estava na empresa._x000D_
_x000D_
mandei uma proposta de R$62,00 com 30%._x000D_
_x000D_
Mandei e-mail pedindo feedback, ate o momento nenhuma resposta._x000D_
tinha voltado o e-mail mandei novamente._x000D_
Enviei e-mail concluindo o contato.</t>
  </si>
  <si>
    <t>14:46:39</t>
  </si>
  <si>
    <t>07456119000112</t>
  </si>
  <si>
    <t xml:space="preserve"> BEDISVA BENEFICIAMENTO E DISTRIBUICAO DE VIDROS E ACESSORIOS LTDA - ME</t>
  </si>
  <si>
    <t>14-3814-6515</t>
  </si>
  <si>
    <t>Responsavel falou que utiliza Serasa mandei o CNPJ para o Valide.</t>
  </si>
  <si>
    <t>01/08/2019</t>
  </si>
  <si>
    <t>Quem faz as consultas é dono da empresa que é bem dificil de encontrar ele é para mandar e-mail pedindo atendimento para a secretaria que ela encaminh para ele._x000D_
_x000D_
Mandei e-mail pedindo atendimento_x000D_
_x000D_
e-mail enviado dia 11/07 sem resposta.</t>
  </si>
  <si>
    <t>10:09:19</t>
  </si>
  <si>
    <t>administrativo@luposlubrificacao.com.br</t>
  </si>
  <si>
    <t xml:space="preserve">Realmente não tem contrato com a Serasa em nenhuma CNPJ, todos estão aparecendo venda liberada.._x000D_
_x000D_
Enviar contrato e entrar em contato para veruificar se ela recebeu a proposta, ela estava de férias._x000D_
_x000D_
Completa._x000D_
</t>
  </si>
  <si>
    <t>15:54:07</t>
  </si>
  <si>
    <t>51224749000153</t>
  </si>
  <si>
    <t>INDUSTECNICA EQUIP INDL LTDA</t>
  </si>
  <si>
    <t>11-5548-4333</t>
  </si>
  <si>
    <t>21575709000276</t>
  </si>
  <si>
    <t>SANTA CASA DE MISERICORDIA DE JUIZ DE FORA</t>
  </si>
  <si>
    <t>JULIANA</t>
  </si>
  <si>
    <t>32-3229-2820</t>
  </si>
  <si>
    <t>juliana.dornelas@santacasajs.org.br</t>
  </si>
  <si>
    <t>ofertado MS perfil 40 a 82 anos renda 1.000_x000D_
Juiz de fora (MG)_x000D_
_x000D_
Não tinha interesse falou que poderia ofertar a outro cemiterio._x000D_
_x000D_
Cemiterio Parque da Saudade.</t>
  </si>
  <si>
    <t>14/08/2019</t>
  </si>
  <si>
    <t>1235</t>
  </si>
  <si>
    <t>CEMITÉRIO PARQUE POÇOS DE CALDAS</t>
  </si>
  <si>
    <t>35-3716-1017</t>
  </si>
  <si>
    <t>paxnegocioseparticipacoes@gmail.com</t>
  </si>
  <si>
    <t xml:space="preserve">retornar a tarde a responsavel tinha saido para o almoço._x000D_
_x000D_
Enviado e-mail com a quantidade de clientes para a cidade Poços de caldas._x000D_
</t>
  </si>
  <si>
    <t>16:10:19</t>
  </si>
  <si>
    <t>GINO</t>
  </si>
  <si>
    <t>16:34:29</t>
  </si>
  <si>
    <t>123456</t>
  </si>
  <si>
    <t>JARDINS CEMITÉRIO PARQUE</t>
  </si>
  <si>
    <t>ANA TERRA</t>
  </si>
  <si>
    <t>31-3438-6400</t>
  </si>
  <si>
    <t>15/08/2019</t>
  </si>
  <si>
    <t>retornar na segunda feira a responsável não estava._x000D_
_x000D_
Cidade de Betim MG.</t>
  </si>
  <si>
    <t>11:40:24</t>
  </si>
  <si>
    <t>1234567</t>
  </si>
  <si>
    <t>CEMITÉRIO PARQUE CAMPO DAS FLORES</t>
  </si>
  <si>
    <t>33-3331-5522</t>
  </si>
  <si>
    <t>parquecampodasflores@hotmail.com</t>
  </si>
  <si>
    <t xml:space="preserve">Enviei proposta e tela com a quantidade de clientes!_x000D_
_x000D_
Proposta: R$364,00_x000D_
Cidade: Manhuacu MG._x000D_
12.562_x000D_
 </t>
  </si>
  <si>
    <t>1425</t>
  </si>
  <si>
    <t>FUNERÁRIA FERRACIOLI 24 HORAS</t>
  </si>
  <si>
    <t>ROSANGELA OU WILSON</t>
  </si>
  <si>
    <t>35-3423-1035</t>
  </si>
  <si>
    <t xml:space="preserve">liguei e o responsavel estava ocupado_x000D_
_x000D_
Pouso Alegre MG_x000D_
34.239_x000D_
</t>
  </si>
  <si>
    <t>CEMITERIO JARDIM DA SUDADE</t>
  </si>
  <si>
    <t>41-3028-2089</t>
  </si>
  <si>
    <t>luis.mexia@jardimdasaudade.com</t>
  </si>
  <si>
    <t>135165486</t>
  </si>
  <si>
    <t>CEMITERIO PARQUE CAMPOS GERAIS</t>
  </si>
  <si>
    <t>42-3238-1515</t>
  </si>
  <si>
    <t>Ligar amanhã as 10:00 da manha procurar por Ricardo</t>
  </si>
  <si>
    <t>29/08/2019</t>
  </si>
  <si>
    <t>enviado proposta de R$3.200 valor unitario 0,26 com 45% de desconto._x000D_
_x000D_
Luis pediu aprovação da diretoria, e precisa de pelo menos 500 CPF para teste._x000D_
_x000D_
quantidade de CPF/ assima de 40 anos sem nenhum tipo de filtro._x000D_
Curitiba/ Pinhais/ Blumenau_x000D_
1.096.000</t>
  </si>
  <si>
    <t>15:58:53</t>
  </si>
  <si>
    <t>16:16:01</t>
  </si>
  <si>
    <t>1536546453</t>
  </si>
  <si>
    <t>CEMITÉRIO PARQUE DAS ALLAMANDAS</t>
  </si>
  <si>
    <t>KAREN</t>
  </si>
  <si>
    <t>43-3371-8200</t>
  </si>
  <si>
    <t>compras@parqueallamandas.com.br</t>
  </si>
  <si>
    <t>Estou falando com Lilian, mandei a proposta de 10.000 CPF e 2.000 CPF._x000D_
_x000D_
Enviei e-mail para saber se tem interesse.</t>
  </si>
  <si>
    <t>15:22:56</t>
  </si>
  <si>
    <t>3216568451</t>
  </si>
  <si>
    <t>CEMITÉRIO PARQUE DE MARINGÁ</t>
  </si>
  <si>
    <t>44-3265-6677</t>
  </si>
  <si>
    <t>Responsavel estava em reuniao ligar amanha de manha.</t>
  </si>
  <si>
    <t>02/09/2019</t>
  </si>
  <si>
    <t>1531645648</t>
  </si>
  <si>
    <t>FUNERARIA PREVER</t>
  </si>
  <si>
    <t>ROGER</t>
  </si>
  <si>
    <t>44-3027-6750</t>
  </si>
  <si>
    <t>roger.darici@gestaoprever.com.br</t>
  </si>
  <si>
    <t>mandar apresentação das cidades de Maringa e Pato Branco._x000D_
_x000D_
enviado apresentação._x000D_
_x000D_
150.850 CPF.</t>
  </si>
  <si>
    <t>6546845312</t>
  </si>
  <si>
    <t>CEMITERIO PARQUE DOS EUCALIPTOS</t>
  </si>
  <si>
    <t>42-3304-7028</t>
  </si>
  <si>
    <t>Liguei e o responsavel não estava, retornar amanha de manha_x000D_
_x000D_
Cidade de Guarapuava, 68.674.</t>
  </si>
  <si>
    <t>17:06:24</t>
  </si>
  <si>
    <t>15156564</t>
  </si>
  <si>
    <t xml:space="preserve">FUNERARIA NOSSA SENHORA DE BELEM </t>
  </si>
  <si>
    <t>4236231823</t>
  </si>
  <si>
    <t>ligar de manha falar com Rafael</t>
  </si>
  <si>
    <t>03/09/2019</t>
  </si>
  <si>
    <t>231516565</t>
  </si>
  <si>
    <t>CEMITERIO JARDIM DA PAZ MARANHAO</t>
  </si>
  <si>
    <t>REGINA</t>
  </si>
  <si>
    <t>98-3303-0450</t>
  </si>
  <si>
    <t>regina@jardimdapazma.com.br</t>
  </si>
  <si>
    <t>liguei e falei com ela recebeu meu e-mail mas so vai ter como responder semana que vem porque esta em semana de fechamento de folha de pagamento.</t>
  </si>
  <si>
    <t>04/09/2019</t>
  </si>
  <si>
    <t>PAX NACIONAL PREVER</t>
  </si>
  <si>
    <t>65-3315-2700</t>
  </si>
  <si>
    <t>midiajoosep@outlook.com</t>
  </si>
  <si>
    <t>151545615368</t>
  </si>
  <si>
    <t>mandar proposta com dados de cuiaba mas eles antem varias regiões._x000D_
_x000D_
Enviei proposta aguardando posição._x000D_
_x000D_
Mandei e-mail cobarndo posição e informando que vou dispobilizar a outra empresa da região caso ele não alguma posição.</t>
  </si>
  <si>
    <t>14:35:52</t>
  </si>
  <si>
    <t>561654685</t>
  </si>
  <si>
    <t>FUNERARIA E PAX NIPO BRASILEIRA</t>
  </si>
  <si>
    <t>67-3321-7859</t>
  </si>
  <si>
    <t>Retiornar o contato após as 16:20, os resposnsaveis não estavam.</t>
  </si>
  <si>
    <t>11/09/2019</t>
  </si>
  <si>
    <t>01146076000192</t>
  </si>
  <si>
    <t>CEMITERIO POPULAR PARK MONTE DAS OLIVEIRAS LTDA</t>
  </si>
  <si>
    <t>DAIANE</t>
  </si>
  <si>
    <t>67-3324-3315</t>
  </si>
  <si>
    <t>pax.mundial@hotmail.com</t>
  </si>
  <si>
    <t>mandar quantidade de CPF que temos disponivel para cidade de Campo Grande MS_x000D_
 filtro: idade 40 a 82 anos._x000D_
e-mail enviado.</t>
  </si>
  <si>
    <t>12/09/2019</t>
  </si>
  <si>
    <t>535648646</t>
  </si>
  <si>
    <t>FUNERARIA VILA VELHA</t>
  </si>
  <si>
    <t>27-3045-6800</t>
  </si>
  <si>
    <t>funerariavilavelha@hotmail.com</t>
  </si>
  <si>
    <t>mandar proposta cliente falou que no momento não esta prospectando novos clientes pedi para dar um retorno._x000D_
_x000D_
e-mail enviado</t>
  </si>
  <si>
    <t>35156484</t>
  </si>
  <si>
    <t>CINARA</t>
  </si>
  <si>
    <t>27-3149-8414</t>
  </si>
  <si>
    <t>sinara.parquedapaz@gmail.com</t>
  </si>
  <si>
    <t>negociação do Junynho_x000D_
_x000D_
mandar proposta patrao dela vai analisar.</t>
  </si>
  <si>
    <t>FUNERARIA E CREMATORIO PARQUE DA PAZ</t>
  </si>
  <si>
    <t>Junior</t>
  </si>
  <si>
    <t>Luana</t>
  </si>
  <si>
    <t>lages6</t>
  </si>
  <si>
    <t>Graziella</t>
  </si>
  <si>
    <t>lages7</t>
  </si>
  <si>
    <t>16:21:15</t>
  </si>
  <si>
    <t>16:21:30</t>
  </si>
  <si>
    <t>MARCO BRAMA</t>
  </si>
  <si>
    <t>m.brama@amf.de</t>
  </si>
  <si>
    <t>falei com o Alisson pediu para rertornar no dia posterior o contato para falar com o responsavel._x000D_
_x000D_
Mandei e- mail pedinso se o Brama éra o responsavel mesmo.</t>
  </si>
  <si>
    <t>16:37:58</t>
  </si>
  <si>
    <t>Retornar na segunda-feira. 14:30_x000D_
_x000D_
11,53 completa_x000D_
4 simples a 8 reias_x000D_
_x000D_
Proposta enviada com 60% de desconto._x000D_
_x000D_
Tirei as duvidas e estou esperando uma posição.</t>
  </si>
  <si>
    <t>14:26:18</t>
  </si>
  <si>
    <t>692</t>
  </si>
  <si>
    <t>Utiliza nas consultas (participação, sujestão de crédito)_x000D_
_x000D_
mandei propos tem interesse em mudar para a serasa só depende dos valores, quanto a negativação, ja utilizou da Serasa mas consegui mais barto na SPC Brasil, se conseguir um valor nelhor na negativação ela volta a negativar._x000D_
_x000D_
mandei uma proposta com os valores da campanha de 52% OFF.</t>
  </si>
  <si>
    <t>16:08:28</t>
  </si>
  <si>
    <t>16:13:28</t>
  </si>
  <si>
    <t>1560</t>
  </si>
  <si>
    <t>17:53:06</t>
  </si>
  <si>
    <t>Mandei e-mail para Taline que encaminhou para Taiara, ela esta analisando e pediu para retornar até quinta da semana que vem, mandei outro e-mail dia 25/05/2019 para Taiara._x000D_
e-mail compras é da Taiara._x000D_
_x000D_
Entrei em contato por telefone e ela falou para retornar dia 17._x000D_
_x000D_
Mandei e-mail falando da campanha onde conseguimos deixar o valor igual ao valor da BVS.</t>
  </si>
  <si>
    <t>Solicitei fatura para poder chegar no valor que ela ta pagando, ela ja recebeu varias proposta mas nunca cobriram o valor dela com a Boa Vista_x000D_
_x000D_
_x000D_
mandei proposta da campanha onde conseguimos deixar o preço igual.</t>
  </si>
  <si>
    <t>11:32:23</t>
  </si>
  <si>
    <t>11:32:58</t>
  </si>
  <si>
    <t>Já tentei varios contatos por telefone e e-mail, mas é bem grossa e não tem interesse em mudar de boa vista para Serasa Experian._x000D_
_x000D_
h</t>
  </si>
  <si>
    <t>15:50:03</t>
  </si>
  <si>
    <t>79402426000121</t>
  </si>
  <si>
    <t>DISBAL DISTRIBUIDORA BALESTRIN LTDA - GRUPO BALESTRIN</t>
  </si>
  <si>
    <t>250</t>
  </si>
  <si>
    <t>49-3527-7600</t>
  </si>
  <si>
    <t>financeiro@grupobalestrin.com.br</t>
  </si>
  <si>
    <t>Enviei proposta em cima da média de 250 consultas basicas, cliente utiliza consultas em parceria com o CDL</t>
  </si>
  <si>
    <t>27/09/2019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</si>
</sst>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R$&quot;* #,##0.00_);_(&quot;R$&quot;* \(#,##0.00\);_(&quot;R$&quot;* &quot;-&quot;??_);_(@_)"/>
    <numFmt numFmtId="165" formatCode="&quot;R$&quot;#,##0.00_);[Red]\(&quot;R$&quot;#,##0.00\)"/>
    <numFmt numFmtId="166" formatCode="&quot;R$&quot;#,##0.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7"/>
      <color rgb="FF0A0A0A"/>
      <name val="Arial"/>
      <family val="2"/>
    </font>
    <font>
      <sz val="12"/>
      <color rgb="FF545454"/>
      <name val="Arial"/>
      <family val="2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9">
    <xf numFmtId="0" fontId="0" fillId="0" borderId="0"/>
    <xf numFmtId="16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7">
    <xf numFmtId="0" fontId="0" fillId="0" borderId="0" xfId="0"/>
    <xf numFmtId="166" fontId="0" fillId="0" borderId="0" xfId="1" applyNumberFormat="1" applyFont="1"/>
    <xf numFmtId="0" fontId="2" fillId="0" borderId="0" xfId="2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top"/>
    </xf>
    <xf numFmtId="0" fontId="0" fillId="0" borderId="0" xfId="0" applyFont="1" applyAlignment="1">
      <alignment horizontal="center" vertical="top"/>
    </xf>
    <xf numFmtId="0" fontId="0" fillId="0" borderId="0" xfId="0" applyAlignment="1"/>
    <xf numFmtId="49" fontId="0" fillId="0" borderId="0" xfId="0" applyNumberFormat="1" applyAlignment="1">
      <alignment horizontal="right"/>
    </xf>
    <xf numFmtId="1" fontId="0" fillId="0" borderId="0" xfId="0" applyNumberFormat="1" applyAlignment="1">
      <alignment horizontal="right" vertical="center"/>
    </xf>
    <xf numFmtId="1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2" fontId="0" fillId="0" borderId="0" xfId="0" applyNumberFormat="1"/>
    <xf numFmtId="0" fontId="4" fillId="0" borderId="0" xfId="0" applyFont="1"/>
    <xf numFmtId="0" fontId="5" fillId="0" borderId="0" xfId="0" applyFont="1"/>
    <xf numFmtId="0" fontId="0" fillId="0" borderId="0" xfId="0"/>
    <xf numFmtId="166" fontId="0" fillId="0" borderId="0" xfId="5" applyNumberFormat="1" applyFont="1"/>
    <xf numFmtId="0" fontId="0" fillId="0" borderId="0" xfId="0" applyAlignment="1"/>
    <xf numFmtId="2" fontId="0" fillId="0" borderId="0" xfId="0" applyNumberFormat="1"/>
    <xf numFmtId="166" fontId="0" fillId="0" borderId="0" xfId="6" applyNumberFormat="1" applyFont="1"/>
    <xf numFmtId="0" fontId="0" fillId="0" borderId="0" xfId="0" applyNumberFormat="1"/>
    <xf numFmtId="49" fontId="0" fillId="0" borderId="0" xfId="0" applyNumberFormat="1"/>
    <xf numFmtId="14" fontId="0" fillId="0" borderId="0" xfId="0" applyNumberFormat="1"/>
    <xf numFmtId="21" fontId="0" fillId="0" borderId="0" xfId="0" applyNumberFormat="1"/>
    <xf numFmtId="165" fontId="0" fillId="0" borderId="0" xfId="6" applyNumberFormat="1" applyFont="1"/>
    <xf numFmtId="165" fontId="0" fillId="0" borderId="0" xfId="0" applyNumberFormat="1"/>
    <xf numFmtId="0" fontId="0" fillId="0" borderId="0" xfId="0" applyAlignment="1">
      <alignment wrapText="1"/>
    </xf>
    <xf numFmtId="0" fontId="0" fillId="0" borderId="0" xfId="0"/>
  </cellXfs>
  <cellStyles count="9">
    <cellStyle name="Hiperlink" xfId="2" builtinId="8"/>
    <cellStyle name="Moeda" xfId="1" builtinId="4"/>
    <cellStyle name="Moeda 2" xfId="3" xr:uid="{50DC7B30-F980-4CFD-AB39-7D1D99F8173E}"/>
    <cellStyle name="Moeda 2 2" xfId="6" xr:uid="{AEC7D81D-1D14-4A4A-BEAB-A8F163BD3B92}"/>
    <cellStyle name="Moeda 3" xfId="4" xr:uid="{83531DF4-A6B6-42A7-9313-08ACD7CB45C0}"/>
    <cellStyle name="Moeda 3 2" xfId="7" xr:uid="{0EFB2EC5-BA08-4618-818F-A3F82482C643}"/>
    <cellStyle name="Moeda 4" xfId="5" xr:uid="{24DE0C74-DDBC-4DA8-BBDB-BBA68E7FA912}"/>
    <cellStyle name="Moeda 5" xfId="8" xr:uid="{015EC58D-7396-45F0-A873-DFBE1491D5EA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.bin"/><Relationship Id="rId3" Type="http://schemas.openxmlformats.org/officeDocument/2006/relationships/hyperlink" Target="http://receitaws.com.br/v1/cnpj/" TargetMode="External"/><Relationship Id="rId7" Type="http://schemas.openxmlformats.org/officeDocument/2006/relationships/hyperlink" Target="http://receitaws.com.br/v1/cnpj/" TargetMode="External"/><Relationship Id="rId2" Type="http://schemas.openxmlformats.org/officeDocument/2006/relationships/hyperlink" Target="http://receitaws.com.br/v1/cnpj/" TargetMode="External"/><Relationship Id="rId1" Type="http://schemas.openxmlformats.org/officeDocument/2006/relationships/hyperlink" Target="http://receitaws.com.br/v1/cnpj/" TargetMode="External"/><Relationship Id="rId6" Type="http://schemas.openxmlformats.org/officeDocument/2006/relationships/hyperlink" Target="http://receitaws.com.br/v1/cnpj/" TargetMode="External"/><Relationship Id="rId5" Type="http://schemas.openxmlformats.org/officeDocument/2006/relationships/hyperlink" Target="http://receitaws.com.br/v1/cnpj/" TargetMode="External"/><Relationship Id="rId4" Type="http://schemas.openxmlformats.org/officeDocument/2006/relationships/hyperlink" Target="http://receitaws.com.br/v1/cnpj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0725E-B2A1-4635-8893-2A8DE221F400}">
  <sheetPr codeName="Planilha1"/>
  <dimension ref="A1:D13"/>
  <sheetViews>
    <sheetView workbookViewId="0">
      <selection activeCell="C9" sqref="C9"/>
    </sheetView>
  </sheetViews>
  <sheetFormatPr defaultRowHeight="14.4" x14ac:dyDescent="0.3"/>
  <cols>
    <col min="3" max="3" width="11.77734375" bestFit="1" customWidth="1"/>
  </cols>
  <sheetData>
    <row r="1" spans="1:4" x14ac:dyDescent="0.3">
      <c r="A1" s="13" t="s">
        <v>0</v>
      </c>
      <c r="B1" s="13" t="s">
        <v>1</v>
      </c>
      <c r="C1" s="13"/>
      <c r="D1" s="13"/>
    </row>
    <row r="2" spans="1:4" x14ac:dyDescent="0.3">
      <c r="A2" s="13" t="s">
        <v>2</v>
      </c>
      <c r="B2" s="13" t="s">
        <v>30</v>
      </c>
      <c r="C2" s="13"/>
      <c r="D2" s="13"/>
    </row>
    <row r="3" spans="1:4" x14ac:dyDescent="0.3">
      <c r="A3" s="13" t="s">
        <v>3</v>
      </c>
      <c r="B3" s="13" t="s">
        <v>31</v>
      </c>
      <c r="C3" s="13"/>
      <c r="D3" s="13"/>
    </row>
    <row r="4" spans="1:4" x14ac:dyDescent="0.3">
      <c r="A4" s="13" t="s">
        <v>4</v>
      </c>
      <c r="B4" s="13" t="s">
        <v>32</v>
      </c>
      <c r="C4" s="13"/>
      <c r="D4" s="13"/>
    </row>
    <row r="5" spans="1:4" x14ac:dyDescent="0.3">
      <c r="A5" s="13" t="s">
        <v>1398</v>
      </c>
      <c r="B5" s="13" t="s">
        <v>33</v>
      </c>
      <c r="C5" s="13"/>
      <c r="D5" s="13"/>
    </row>
    <row r="6" spans="1:4" x14ac:dyDescent="0.3">
      <c r="A6" s="13" t="s">
        <v>5</v>
      </c>
      <c r="B6" s="13" t="s">
        <v>34</v>
      </c>
      <c r="C6" s="13"/>
      <c r="D6" s="13"/>
    </row>
    <row r="7" spans="1:4" x14ac:dyDescent="0.3">
      <c r="A7" s="13" t="s">
        <v>1399</v>
      </c>
      <c r="B7" s="13" t="s">
        <v>1400</v>
      </c>
      <c r="C7" s="13"/>
      <c r="D7" s="13"/>
    </row>
    <row r="8" spans="1:4" x14ac:dyDescent="0.3">
      <c r="A8" s="13" t="s">
        <v>1401</v>
      </c>
      <c r="B8" s="13" t="s">
        <v>1402</v>
      </c>
      <c r="C8" s="13"/>
      <c r="D8" s="13"/>
    </row>
    <row r="9" spans="1:4" x14ac:dyDescent="0.3">
      <c r="A9" s="13"/>
      <c r="B9" s="13"/>
      <c r="C9" s="13"/>
      <c r="D9" s="13"/>
    </row>
    <row r="10" spans="1:4" x14ac:dyDescent="0.3">
      <c r="A10" s="13"/>
      <c r="B10" s="13"/>
      <c r="C10" s="13"/>
      <c r="D10" s="13"/>
    </row>
    <row r="11" spans="1:4" x14ac:dyDescent="0.3">
      <c r="A11" s="13"/>
      <c r="B11" s="13"/>
      <c r="C11" s="13"/>
      <c r="D11" s="13"/>
    </row>
    <row r="12" spans="1:4" x14ac:dyDescent="0.3">
      <c r="A12" s="13"/>
      <c r="B12" s="13"/>
      <c r="C12" s="13"/>
      <c r="D12" s="13"/>
    </row>
    <row r="13" spans="1:4" x14ac:dyDescent="0.3">
      <c r="A13" s="13"/>
      <c r="B13" s="13"/>
      <c r="C13" s="13"/>
      <c r="D13" s="13"/>
    </row>
  </sheetData>
  <dataValidations count="1">
    <dataValidation type="textLength" operator="greaterThan" allowBlank="1" showInputMessage="1" showErrorMessage="1" error="somente texto" sqref="C2 E6" xr:uid="{0C7C5902-6374-42F6-83F9-1A4775FBFDB9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9ADDB-1A4B-4818-A688-C101E8C2BCFE}">
  <sheetPr codeName="Planilha2"/>
  <dimension ref="A1:AM221"/>
  <sheetViews>
    <sheetView tabSelected="1" topLeftCell="A199" workbookViewId="0">
      <selection activeCell="A221" sqref="A221"/>
    </sheetView>
  </sheetViews>
  <sheetFormatPr defaultRowHeight="14.4" x14ac:dyDescent="0.3"/>
  <cols>
    <col min="1" max="1" width="17.5546875" customWidth="1"/>
    <col min="2" max="2" width="19.77734375" customWidth="1"/>
    <col min="3" max="3" width="15.33203125" bestFit="1" customWidth="1"/>
    <col min="4" max="4" width="49.77734375" customWidth="1"/>
    <col min="5" max="5" width="17" customWidth="1"/>
    <col min="6" max="6" width="19.44140625" customWidth="1"/>
    <col min="7" max="7" width="17" customWidth="1"/>
    <col min="8" max="8" width="22.109375" style="1" customWidth="1"/>
    <col min="9" max="9" width="17.21875" customWidth="1"/>
    <col min="10" max="10" width="14.33203125" style="11" customWidth="1"/>
    <col min="11" max="11" width="18.109375" customWidth="1"/>
    <col min="12" max="12" width="25.33203125" customWidth="1"/>
    <col min="13" max="13" width="9.5546875" customWidth="1"/>
    <col min="14" max="14" width="12.6640625" customWidth="1"/>
    <col min="15" max="15" width="8.44140625" customWidth="1"/>
    <col min="16" max="16" width="8.5546875" customWidth="1"/>
    <col min="17" max="17" width="8.21875" customWidth="1"/>
    <col min="18" max="18" width="27.21875" style="6" bestFit="1" customWidth="1"/>
    <col min="19" max="19" width="5.33203125" customWidth="1"/>
    <col min="20" max="20" width="8.21875" style="16" customWidth="1"/>
    <col min="21" max="21" width="9.77734375" customWidth="1"/>
    <col min="22" max="22" width="34.6640625" customWidth="1"/>
    <col min="23" max="23" width="20.33203125" style="16" customWidth="1"/>
    <col min="24" max="24" width="13.6640625" customWidth="1"/>
    <col min="25" max="25" width="13.109375" customWidth="1"/>
    <col min="26" max="26" width="11.77734375" customWidth="1"/>
    <col min="27" max="27" width="22.44140625" customWidth="1"/>
    <col min="28" max="28" width="12.109375" customWidth="1"/>
    <col min="29" max="29" width="11.5546875" customWidth="1"/>
    <col min="30" max="30" width="18.44140625" customWidth="1"/>
    <col min="31" max="31" width="21.109375" customWidth="1"/>
    <col min="32" max="32" width="16.109375" customWidth="1"/>
    <col min="33" max="33" width="30.21875" customWidth="1"/>
    <col min="34" max="34" width="15.77734375" bestFit="1" customWidth="1"/>
    <col min="35" max="35" width="12.33203125" customWidth="1"/>
    <col min="37" max="37" width="14.88671875" customWidth="1"/>
    <col min="38" max="38" width="17.88671875" customWidth="1"/>
  </cols>
  <sheetData>
    <row r="1" spans="1:38" x14ac:dyDescent="0.3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s="1" t="s">
        <v>13</v>
      </c>
      <c r="I1" t="s">
        <v>14</v>
      </c>
      <c r="J1" s="11" t="s">
        <v>29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s="6" t="s">
        <v>22</v>
      </c>
      <c r="S1" t="s">
        <v>23</v>
      </c>
      <c r="T1" s="16" t="s">
        <v>24</v>
      </c>
      <c r="U1" t="s">
        <v>25</v>
      </c>
      <c r="V1" t="s">
        <v>26</v>
      </c>
      <c r="W1" s="16" t="s">
        <v>27</v>
      </c>
      <c r="X1" t="s">
        <v>28</v>
      </c>
      <c r="Y1" t="s">
        <v>37</v>
      </c>
      <c r="Z1" t="s">
        <v>38</v>
      </c>
      <c r="AA1" t="s">
        <v>39</v>
      </c>
      <c r="AB1" t="s">
        <v>40</v>
      </c>
      <c r="AC1" t="s">
        <v>41</v>
      </c>
      <c r="AD1" t="s">
        <v>120</v>
      </c>
      <c r="AE1" t="s">
        <v>121</v>
      </c>
      <c r="AF1" t="s">
        <v>122</v>
      </c>
      <c r="AG1" t="s">
        <v>123</v>
      </c>
      <c r="AH1" t="s">
        <v>124</v>
      </c>
      <c r="AI1" t="s">
        <v>242</v>
      </c>
      <c r="AJ1" t="s">
        <v>243</v>
      </c>
      <c r="AK1" t="s">
        <v>242</v>
      </c>
      <c r="AL1" t="s">
        <v>120</v>
      </c>
    </row>
    <row r="2" spans="1:38" x14ac:dyDescent="0.3">
      <c r="A2" s="20" t="s">
        <v>205</v>
      </c>
      <c r="B2" s="14" t="s">
        <v>42</v>
      </c>
      <c r="C2" s="14" t="s">
        <v>43</v>
      </c>
      <c r="D2" s="14" t="s">
        <v>206</v>
      </c>
      <c r="E2" s="14" t="s">
        <v>207</v>
      </c>
      <c r="F2" s="14" t="s">
        <v>208</v>
      </c>
      <c r="G2" s="14" t="s">
        <v>44</v>
      </c>
      <c r="H2" s="18" t="s">
        <v>44</v>
      </c>
      <c r="I2" s="14" t="s">
        <v>44</v>
      </c>
      <c r="J2" s="14" t="s">
        <v>82</v>
      </c>
      <c r="K2" s="14"/>
      <c r="L2" s="14" t="s">
        <v>44</v>
      </c>
      <c r="M2" s="14" t="s">
        <v>44</v>
      </c>
      <c r="N2" s="14"/>
      <c r="O2" s="19">
        <v>13</v>
      </c>
      <c r="P2" s="14" t="s">
        <v>209</v>
      </c>
      <c r="Q2" s="14" t="s">
        <v>44</v>
      </c>
      <c r="R2" s="16" t="s">
        <v>210</v>
      </c>
      <c r="S2" s="14" t="s">
        <v>44</v>
      </c>
      <c r="T2" s="16" t="s">
        <v>44</v>
      </c>
      <c r="U2" s="14" t="s">
        <v>44</v>
      </c>
      <c r="V2" s="14" t="s">
        <v>44</v>
      </c>
      <c r="W2" s="16" t="s">
        <v>211</v>
      </c>
      <c r="X2" s="14" t="s">
        <v>44</v>
      </c>
      <c r="Y2" s="14"/>
      <c r="Z2" s="14"/>
      <c r="AA2" s="14"/>
      <c r="AB2" s="14" t="s">
        <v>44</v>
      </c>
      <c r="AC2" s="14" t="s">
        <v>66</v>
      </c>
      <c r="AD2" s="21">
        <v>43623</v>
      </c>
      <c r="AE2" t="s">
        <v>44</v>
      </c>
      <c r="AF2" t="s">
        <v>44</v>
      </c>
      <c r="AG2" t="s">
        <v>44</v>
      </c>
      <c r="AH2" s="21">
        <v>43616</v>
      </c>
      <c r="AK2" s="14" t="s">
        <v>263</v>
      </c>
      <c r="AL2" t="s">
        <v>558</v>
      </c>
    </row>
    <row r="3" spans="1:38" x14ac:dyDescent="0.3">
      <c r="A3" s="14" t="s">
        <v>212</v>
      </c>
      <c r="B3" s="14" t="s">
        <v>42</v>
      </c>
      <c r="C3" s="14" t="s">
        <v>43</v>
      </c>
      <c r="D3" s="14" t="s">
        <v>213</v>
      </c>
      <c r="E3" s="14" t="s">
        <v>214</v>
      </c>
      <c r="F3" s="14" t="s">
        <v>125</v>
      </c>
      <c r="G3" s="14" t="s">
        <v>44</v>
      </c>
      <c r="H3" s="18" t="s">
        <v>44</v>
      </c>
      <c r="I3" s="14" t="s">
        <v>44</v>
      </c>
      <c r="J3" s="14" t="s">
        <v>82</v>
      </c>
      <c r="K3" s="14"/>
      <c r="L3" s="14" t="s">
        <v>44</v>
      </c>
      <c r="M3" s="14" t="s">
        <v>44</v>
      </c>
      <c r="N3" s="14"/>
      <c r="O3" s="19">
        <v>31</v>
      </c>
      <c r="P3" s="14" t="s">
        <v>554</v>
      </c>
      <c r="Q3" s="14" t="s">
        <v>555</v>
      </c>
      <c r="R3" s="16" t="s">
        <v>556</v>
      </c>
      <c r="S3" s="14" t="s">
        <v>44</v>
      </c>
      <c r="T3" s="16" t="s">
        <v>44</v>
      </c>
      <c r="U3" s="14" t="s">
        <v>44</v>
      </c>
      <c r="V3" s="14" t="s">
        <v>44</v>
      </c>
      <c r="W3" s="16" t="s">
        <v>557</v>
      </c>
      <c r="X3" s="14" t="s">
        <v>44</v>
      </c>
      <c r="Y3" s="21">
        <v>43606</v>
      </c>
      <c r="Z3" s="14"/>
      <c r="AA3" s="14"/>
      <c r="AB3" s="14" t="s">
        <v>44</v>
      </c>
      <c r="AC3" s="14" t="s">
        <v>66</v>
      </c>
      <c r="AD3" s="21">
        <v>43630</v>
      </c>
      <c r="AE3" t="s">
        <v>44</v>
      </c>
      <c r="AF3" t="s">
        <v>44</v>
      </c>
      <c r="AG3" t="s">
        <v>44</v>
      </c>
      <c r="AH3" s="21">
        <v>43633</v>
      </c>
      <c r="AK3" s="14" t="s">
        <v>248</v>
      </c>
      <c r="AL3" t="s">
        <v>621</v>
      </c>
    </row>
    <row r="4" spans="1:38" x14ac:dyDescent="0.3">
      <c r="A4" s="20" t="s">
        <v>216</v>
      </c>
      <c r="B4" s="14" t="s">
        <v>45</v>
      </c>
      <c r="C4" s="14" t="s">
        <v>43</v>
      </c>
      <c r="D4" s="14" t="s">
        <v>217</v>
      </c>
      <c r="E4" s="14" t="s">
        <v>218</v>
      </c>
      <c r="F4" s="14"/>
      <c r="G4" s="14" t="s">
        <v>44</v>
      </c>
      <c r="H4" s="18" t="s">
        <v>44</v>
      </c>
      <c r="I4" s="14" t="s">
        <v>44</v>
      </c>
      <c r="J4" s="14" t="s">
        <v>82</v>
      </c>
      <c r="K4" s="14"/>
      <c r="L4" s="14" t="s">
        <v>44</v>
      </c>
      <c r="M4" s="14" t="s">
        <v>44</v>
      </c>
      <c r="N4" s="14"/>
      <c r="O4" s="19">
        <v>11</v>
      </c>
      <c r="P4" s="14" t="s">
        <v>219</v>
      </c>
      <c r="Q4" s="14" t="s">
        <v>220</v>
      </c>
      <c r="R4" s="16" t="s">
        <v>44</v>
      </c>
      <c r="S4" s="14" t="s">
        <v>44</v>
      </c>
      <c r="T4" s="16" t="s">
        <v>44</v>
      </c>
      <c r="U4" s="14" t="s">
        <v>44</v>
      </c>
      <c r="V4" s="14" t="s">
        <v>44</v>
      </c>
      <c r="W4" s="16" t="s">
        <v>559</v>
      </c>
      <c r="X4" s="14" t="s">
        <v>44</v>
      </c>
      <c r="Y4" s="14"/>
      <c r="Z4" s="14"/>
      <c r="AA4" s="14"/>
      <c r="AB4" s="14" t="s">
        <v>44</v>
      </c>
      <c r="AC4" s="14" t="s">
        <v>66</v>
      </c>
      <c r="AD4" s="21">
        <v>43623</v>
      </c>
      <c r="AE4" t="s">
        <v>44</v>
      </c>
      <c r="AF4" t="s">
        <v>44</v>
      </c>
      <c r="AG4" t="s">
        <v>44</v>
      </c>
      <c r="AH4" s="21">
        <v>43616</v>
      </c>
      <c r="AK4" s="14" t="s">
        <v>263</v>
      </c>
      <c r="AL4" t="s">
        <v>560</v>
      </c>
    </row>
    <row r="5" spans="1:38" x14ac:dyDescent="0.3">
      <c r="A5" s="20" t="s">
        <v>221</v>
      </c>
      <c r="B5" s="14" t="s">
        <v>42</v>
      </c>
      <c r="C5" s="14" t="s">
        <v>43</v>
      </c>
      <c r="D5" s="14" t="s">
        <v>222</v>
      </c>
      <c r="E5" s="14" t="s">
        <v>223</v>
      </c>
      <c r="F5" s="14" t="s">
        <v>46</v>
      </c>
      <c r="G5" s="14" t="s">
        <v>44</v>
      </c>
      <c r="H5" s="18" t="s">
        <v>44</v>
      </c>
      <c r="I5" s="14" t="s">
        <v>44</v>
      </c>
      <c r="J5" s="14" t="s">
        <v>82</v>
      </c>
      <c r="K5" s="14"/>
      <c r="L5" s="14" t="s">
        <v>44</v>
      </c>
      <c r="M5" s="14" t="s">
        <v>44</v>
      </c>
      <c r="N5" s="14"/>
      <c r="O5" s="19">
        <v>31</v>
      </c>
      <c r="P5" s="14" t="s">
        <v>224</v>
      </c>
      <c r="Q5" s="14" t="s">
        <v>44</v>
      </c>
      <c r="R5" s="16" t="s">
        <v>44</v>
      </c>
      <c r="S5" s="14" t="s">
        <v>44</v>
      </c>
      <c r="T5" s="16" t="s">
        <v>44</v>
      </c>
      <c r="U5" s="14" t="s">
        <v>44</v>
      </c>
      <c r="V5" s="14" t="s">
        <v>44</v>
      </c>
      <c r="W5" s="16" t="s">
        <v>225</v>
      </c>
      <c r="X5" s="14" t="s">
        <v>226</v>
      </c>
      <c r="Y5" s="14"/>
      <c r="Z5" s="14"/>
      <c r="AA5" s="14"/>
      <c r="AB5" s="14" t="s">
        <v>44</v>
      </c>
      <c r="AC5" s="14" t="s">
        <v>66</v>
      </c>
      <c r="AD5" s="21">
        <v>43623</v>
      </c>
      <c r="AE5" t="s">
        <v>44</v>
      </c>
      <c r="AF5" t="s">
        <v>44</v>
      </c>
      <c r="AG5" t="s">
        <v>44</v>
      </c>
      <c r="AH5" s="21">
        <v>43616</v>
      </c>
      <c r="AK5" s="14" t="s">
        <v>263</v>
      </c>
      <c r="AL5" t="s">
        <v>561</v>
      </c>
    </row>
    <row r="6" spans="1:38" x14ac:dyDescent="0.3">
      <c r="A6" s="20" t="s">
        <v>227</v>
      </c>
      <c r="B6" s="14" t="s">
        <v>42</v>
      </c>
      <c r="C6" s="14" t="s">
        <v>43</v>
      </c>
      <c r="D6" s="14" t="s">
        <v>228</v>
      </c>
      <c r="E6" s="14" t="s">
        <v>229</v>
      </c>
      <c r="F6" s="14" t="s">
        <v>47</v>
      </c>
      <c r="G6" s="14" t="s">
        <v>44</v>
      </c>
      <c r="H6" s="18" t="s">
        <v>44</v>
      </c>
      <c r="I6" s="14" t="s">
        <v>44</v>
      </c>
      <c r="J6" s="14" t="s">
        <v>82</v>
      </c>
      <c r="K6" s="14"/>
      <c r="L6" s="14" t="s">
        <v>44</v>
      </c>
      <c r="M6" s="14" t="s">
        <v>44</v>
      </c>
      <c r="N6" s="14"/>
      <c r="O6" s="19">
        <v>11</v>
      </c>
      <c r="P6" s="14" t="s">
        <v>230</v>
      </c>
      <c r="Q6" s="14" t="s">
        <v>44</v>
      </c>
      <c r="R6" s="16" t="s">
        <v>44</v>
      </c>
      <c r="S6" s="14" t="s">
        <v>44</v>
      </c>
      <c r="T6" s="16" t="s">
        <v>44</v>
      </c>
      <c r="U6" s="14" t="s">
        <v>44</v>
      </c>
      <c r="V6" s="14" t="s">
        <v>44</v>
      </c>
      <c r="W6" s="16" t="s">
        <v>231</v>
      </c>
      <c r="X6" s="14" t="s">
        <v>44</v>
      </c>
      <c r="Y6" s="14"/>
      <c r="Z6" s="14"/>
      <c r="AA6" s="14"/>
      <c r="AB6" s="14" t="s">
        <v>44</v>
      </c>
      <c r="AC6" s="14" t="s">
        <v>66</v>
      </c>
      <c r="AD6" s="21">
        <v>43623</v>
      </c>
      <c r="AE6" t="s">
        <v>44</v>
      </c>
      <c r="AF6" t="s">
        <v>44</v>
      </c>
      <c r="AG6" t="s">
        <v>44</v>
      </c>
      <c r="AH6" s="21">
        <v>43922</v>
      </c>
      <c r="AK6" s="14" t="s">
        <v>248</v>
      </c>
      <c r="AL6" t="s">
        <v>562</v>
      </c>
    </row>
    <row r="7" spans="1:38" x14ac:dyDescent="0.3">
      <c r="A7" s="20" t="s">
        <v>232</v>
      </c>
      <c r="B7" s="14" t="s">
        <v>42</v>
      </c>
      <c r="C7" s="14" t="s">
        <v>43</v>
      </c>
      <c r="D7" s="14" t="s">
        <v>233</v>
      </c>
      <c r="E7" s="14" t="s">
        <v>235</v>
      </c>
      <c r="F7" s="14" t="s">
        <v>46</v>
      </c>
      <c r="G7" s="19" t="s">
        <v>118</v>
      </c>
      <c r="H7" s="23" t="s">
        <v>568</v>
      </c>
      <c r="I7" s="14" t="s">
        <v>44</v>
      </c>
      <c r="J7" s="19" t="s">
        <v>97</v>
      </c>
      <c r="K7" s="14"/>
      <c r="L7" s="14" t="s">
        <v>44</v>
      </c>
      <c r="M7" s="14" t="s">
        <v>44</v>
      </c>
      <c r="N7" s="14"/>
      <c r="O7" s="19">
        <v>31</v>
      </c>
      <c r="P7" s="14" t="s">
        <v>569</v>
      </c>
      <c r="Q7" s="14" t="s">
        <v>44</v>
      </c>
      <c r="R7" s="16" t="s">
        <v>234</v>
      </c>
      <c r="S7" s="14" t="s">
        <v>44</v>
      </c>
      <c r="T7" s="16" t="s">
        <v>44</v>
      </c>
      <c r="U7" s="14" t="s">
        <v>44</v>
      </c>
      <c r="V7" s="14" t="s">
        <v>44</v>
      </c>
      <c r="W7" s="16" t="s">
        <v>664</v>
      </c>
      <c r="X7" s="14" t="s">
        <v>44</v>
      </c>
      <c r="Y7" s="14"/>
      <c r="Z7" s="14"/>
      <c r="AA7" s="14"/>
      <c r="AB7" s="14" t="s">
        <v>44</v>
      </c>
      <c r="AC7" s="14" t="s">
        <v>66</v>
      </c>
      <c r="AD7" s="21">
        <v>43643</v>
      </c>
      <c r="AE7" t="s">
        <v>44</v>
      </c>
      <c r="AF7" t="s">
        <v>44</v>
      </c>
      <c r="AG7" t="s">
        <v>44</v>
      </c>
      <c r="AH7" s="21">
        <v>43635</v>
      </c>
      <c r="AK7" s="14" t="s">
        <v>263</v>
      </c>
      <c r="AL7" t="s">
        <v>665</v>
      </c>
    </row>
    <row r="8" spans="1:38" x14ac:dyDescent="0.3">
      <c r="A8" s="20" t="s">
        <v>48</v>
      </c>
      <c r="B8" s="14" t="s">
        <v>45</v>
      </c>
      <c r="C8" s="14" t="s">
        <v>43</v>
      </c>
      <c r="D8" s="14" t="s">
        <v>49</v>
      </c>
      <c r="E8" s="14" t="s">
        <v>50</v>
      </c>
      <c r="F8" s="14" t="s">
        <v>51</v>
      </c>
      <c r="G8" s="19" t="s">
        <v>202</v>
      </c>
      <c r="H8" s="23" t="s">
        <v>286</v>
      </c>
      <c r="I8" s="14" t="s">
        <v>44</v>
      </c>
      <c r="J8" s="19" t="s">
        <v>82</v>
      </c>
      <c r="K8" s="14"/>
      <c r="L8" s="14" t="s">
        <v>44</v>
      </c>
      <c r="M8" s="14" t="s">
        <v>44</v>
      </c>
      <c r="N8" s="14"/>
      <c r="O8" s="14"/>
      <c r="P8" s="14" t="s">
        <v>52</v>
      </c>
      <c r="Q8" s="14" t="s">
        <v>44</v>
      </c>
      <c r="R8" s="16" t="s">
        <v>369</v>
      </c>
      <c r="S8" s="14"/>
      <c r="T8" s="16" t="s">
        <v>44</v>
      </c>
      <c r="U8" s="14" t="s">
        <v>44</v>
      </c>
      <c r="V8" s="14" t="s">
        <v>44</v>
      </c>
      <c r="W8" s="16" t="s">
        <v>623</v>
      </c>
      <c r="X8" s="14"/>
      <c r="Y8" s="21">
        <v>43608</v>
      </c>
      <c r="Z8" s="22">
        <v>0.60888888888888892</v>
      </c>
      <c r="AA8" s="14" t="s">
        <v>53</v>
      </c>
      <c r="AB8" s="19" t="s">
        <v>171</v>
      </c>
      <c r="AC8" s="14" t="s">
        <v>54</v>
      </c>
      <c r="AD8" s="21">
        <v>43633</v>
      </c>
      <c r="AE8" t="s">
        <v>44</v>
      </c>
      <c r="AF8" t="s">
        <v>44</v>
      </c>
      <c r="AG8" t="s">
        <v>44</v>
      </c>
      <c r="AH8" s="21">
        <v>43630</v>
      </c>
      <c r="AK8" s="14" t="s">
        <v>263</v>
      </c>
      <c r="AL8" t="s">
        <v>624</v>
      </c>
    </row>
    <row r="9" spans="1:38" x14ac:dyDescent="0.3">
      <c r="A9" s="20" t="s">
        <v>55</v>
      </c>
      <c r="B9" s="14" t="s">
        <v>45</v>
      </c>
      <c r="C9" s="14" t="s">
        <v>43</v>
      </c>
      <c r="D9" s="14" t="s">
        <v>56</v>
      </c>
      <c r="E9" s="14" t="s">
        <v>44</v>
      </c>
      <c r="F9" s="14" t="s">
        <v>51</v>
      </c>
      <c r="G9" s="14" t="s">
        <v>44</v>
      </c>
      <c r="H9" s="18" t="s">
        <v>44</v>
      </c>
      <c r="I9" s="14" t="s">
        <v>44</v>
      </c>
      <c r="J9" s="19" t="s">
        <v>82</v>
      </c>
      <c r="K9" s="14"/>
      <c r="L9" s="14" t="s">
        <v>44</v>
      </c>
      <c r="M9" s="14" t="s">
        <v>44</v>
      </c>
      <c r="N9" s="14"/>
      <c r="O9" s="14"/>
      <c r="P9" s="14" t="s">
        <v>57</v>
      </c>
      <c r="Q9" s="19" t="s">
        <v>563</v>
      </c>
      <c r="R9" s="16" t="s">
        <v>58</v>
      </c>
      <c r="S9" s="14"/>
      <c r="T9" s="16" t="s">
        <v>44</v>
      </c>
      <c r="U9" s="14" t="s">
        <v>44</v>
      </c>
      <c r="V9" s="14" t="s">
        <v>44</v>
      </c>
      <c r="W9" s="16" t="s">
        <v>59</v>
      </c>
      <c r="X9" s="14"/>
      <c r="Y9" s="21">
        <v>43608</v>
      </c>
      <c r="Z9" s="22">
        <v>0.67881944444444453</v>
      </c>
      <c r="AA9" s="14"/>
      <c r="AB9" s="14" t="s">
        <v>44</v>
      </c>
      <c r="AC9" s="14" t="s">
        <v>66</v>
      </c>
      <c r="AD9" s="21">
        <v>43623</v>
      </c>
      <c r="AE9" t="s">
        <v>44</v>
      </c>
      <c r="AF9" t="s">
        <v>44</v>
      </c>
      <c r="AG9" t="s">
        <v>44</v>
      </c>
      <c r="AH9" s="21">
        <v>43616</v>
      </c>
      <c r="AK9" s="14" t="s">
        <v>263</v>
      </c>
      <c r="AL9" t="s">
        <v>564</v>
      </c>
    </row>
    <row r="10" spans="1:38" x14ac:dyDescent="0.3">
      <c r="A10" s="20" t="s">
        <v>60</v>
      </c>
      <c r="B10" s="14" t="s">
        <v>45</v>
      </c>
      <c r="C10" s="14" t="s">
        <v>43</v>
      </c>
      <c r="D10" s="14" t="s">
        <v>61</v>
      </c>
      <c r="E10" s="14" t="s">
        <v>62</v>
      </c>
      <c r="F10" s="14"/>
      <c r="G10" s="14" t="s">
        <v>44</v>
      </c>
      <c r="H10" s="18" t="s">
        <v>44</v>
      </c>
      <c r="I10" s="14" t="s">
        <v>44</v>
      </c>
      <c r="J10" s="19" t="s">
        <v>82</v>
      </c>
      <c r="K10" s="14"/>
      <c r="L10" s="14" t="s">
        <v>44</v>
      </c>
      <c r="M10" s="14" t="s">
        <v>44</v>
      </c>
      <c r="N10" s="14"/>
      <c r="O10" s="14"/>
      <c r="P10" s="14" t="s">
        <v>63</v>
      </c>
      <c r="Q10" s="14" t="s">
        <v>44</v>
      </c>
      <c r="R10" s="16" t="s">
        <v>64</v>
      </c>
      <c r="S10" s="14"/>
      <c r="T10" s="16" t="s">
        <v>44</v>
      </c>
      <c r="U10" s="14" t="s">
        <v>44</v>
      </c>
      <c r="V10" s="14" t="s">
        <v>44</v>
      </c>
      <c r="W10" s="16" t="s">
        <v>65</v>
      </c>
      <c r="X10" s="14"/>
      <c r="Y10" s="21">
        <v>43608</v>
      </c>
      <c r="Z10" s="22">
        <v>0.68738425925925928</v>
      </c>
      <c r="AA10" s="14"/>
      <c r="AB10" s="14" t="s">
        <v>44</v>
      </c>
      <c r="AC10" s="14" t="s">
        <v>66</v>
      </c>
      <c r="AD10" s="21">
        <v>43623</v>
      </c>
      <c r="AE10" t="s">
        <v>44</v>
      </c>
      <c r="AF10" t="s">
        <v>44</v>
      </c>
      <c r="AG10" t="s">
        <v>44</v>
      </c>
      <c r="AH10" s="21">
        <v>43616</v>
      </c>
      <c r="AK10" s="14" t="s">
        <v>263</v>
      </c>
      <c r="AL10" t="s">
        <v>565</v>
      </c>
    </row>
    <row r="11" spans="1:38" x14ac:dyDescent="0.3">
      <c r="A11" s="20" t="s">
        <v>67</v>
      </c>
      <c r="B11" s="14" t="s">
        <v>45</v>
      </c>
      <c r="C11" s="14" t="s">
        <v>43</v>
      </c>
      <c r="D11" s="14" t="s">
        <v>68</v>
      </c>
      <c r="E11" s="14" t="s">
        <v>69</v>
      </c>
      <c r="F11" s="14" t="s">
        <v>51</v>
      </c>
      <c r="G11" s="19" t="s">
        <v>280</v>
      </c>
      <c r="H11" s="23" t="s">
        <v>566</v>
      </c>
      <c r="I11" s="24" t="s">
        <v>567</v>
      </c>
      <c r="J11" s="19" t="s">
        <v>97</v>
      </c>
      <c r="K11" s="14"/>
      <c r="L11" s="14" t="s">
        <v>44</v>
      </c>
      <c r="M11" s="14" t="s">
        <v>44</v>
      </c>
      <c r="N11" s="14"/>
      <c r="O11" s="14"/>
      <c r="P11" s="14" t="s">
        <v>70</v>
      </c>
      <c r="Q11" s="14" t="s">
        <v>44</v>
      </c>
      <c r="R11" s="16" t="s">
        <v>71</v>
      </c>
      <c r="S11" s="14"/>
      <c r="T11" s="16" t="s">
        <v>44</v>
      </c>
      <c r="U11" s="14" t="s">
        <v>44</v>
      </c>
      <c r="V11" s="14" t="s">
        <v>44</v>
      </c>
      <c r="W11" s="16" t="s">
        <v>570</v>
      </c>
      <c r="X11" s="14"/>
      <c r="Y11" s="21">
        <v>43608</v>
      </c>
      <c r="Z11" s="22">
        <v>0.72578703703703706</v>
      </c>
      <c r="AA11" s="14" t="s">
        <v>6</v>
      </c>
      <c r="AB11" s="19" t="s">
        <v>95</v>
      </c>
      <c r="AC11" s="14" t="s">
        <v>54</v>
      </c>
      <c r="AD11" s="21">
        <v>43623</v>
      </c>
      <c r="AE11" t="s">
        <v>44</v>
      </c>
      <c r="AF11" t="s">
        <v>44</v>
      </c>
      <c r="AG11" t="s">
        <v>44</v>
      </c>
      <c r="AH11" s="21">
        <v>43623</v>
      </c>
      <c r="AK11" s="14" t="s">
        <v>263</v>
      </c>
      <c r="AL11" t="s">
        <v>571</v>
      </c>
    </row>
    <row r="12" spans="1:38" x14ac:dyDescent="0.3">
      <c r="A12" s="14" t="s">
        <v>72</v>
      </c>
      <c r="B12" s="14" t="s">
        <v>45</v>
      </c>
      <c r="C12" s="14" t="s">
        <v>43</v>
      </c>
      <c r="D12" s="14" t="s">
        <v>73</v>
      </c>
      <c r="E12" s="14" t="s">
        <v>74</v>
      </c>
      <c r="F12" s="14"/>
      <c r="G12" s="14" t="s">
        <v>44</v>
      </c>
      <c r="H12" s="15" t="s">
        <v>44</v>
      </c>
      <c r="I12" s="14" t="s">
        <v>44</v>
      </c>
      <c r="J12" s="17" t="s">
        <v>75</v>
      </c>
      <c r="K12" s="14"/>
      <c r="L12" s="14" t="s">
        <v>44</v>
      </c>
      <c r="M12" s="14" t="s">
        <v>44</v>
      </c>
      <c r="N12" s="14"/>
      <c r="O12" s="14"/>
      <c r="P12" s="14" t="s">
        <v>572</v>
      </c>
      <c r="Q12" s="14" t="s">
        <v>44</v>
      </c>
      <c r="R12" s="16" t="s">
        <v>44</v>
      </c>
      <c r="S12" s="14"/>
      <c r="T12" s="16" t="s">
        <v>44</v>
      </c>
      <c r="U12" s="14" t="s">
        <v>44</v>
      </c>
      <c r="V12" s="14" t="s">
        <v>44</v>
      </c>
      <c r="W12" s="16" t="s">
        <v>595</v>
      </c>
      <c r="X12" s="14"/>
      <c r="Y12" s="14"/>
      <c r="Z12" s="14"/>
      <c r="AA12" s="14"/>
      <c r="AB12" s="14" t="s">
        <v>44</v>
      </c>
      <c r="AC12" s="14" t="s">
        <v>66</v>
      </c>
      <c r="AD12" s="21">
        <v>43629</v>
      </c>
      <c r="AE12" t="s">
        <v>44</v>
      </c>
      <c r="AF12" t="s">
        <v>44</v>
      </c>
      <c r="AG12" t="s">
        <v>44</v>
      </c>
      <c r="AH12" s="21">
        <v>43630</v>
      </c>
      <c r="AK12" s="14" t="s">
        <v>263</v>
      </c>
      <c r="AL12" t="s">
        <v>596</v>
      </c>
    </row>
    <row r="13" spans="1:38" x14ac:dyDescent="0.3">
      <c r="A13" s="14" t="s">
        <v>76</v>
      </c>
      <c r="B13" s="14" t="s">
        <v>45</v>
      </c>
      <c r="C13" s="14" t="s">
        <v>43</v>
      </c>
      <c r="D13" s="14" t="s">
        <v>77</v>
      </c>
      <c r="E13" s="14" t="s">
        <v>1232</v>
      </c>
      <c r="F13" s="14" t="s">
        <v>47</v>
      </c>
      <c r="G13" s="14" t="s">
        <v>78</v>
      </c>
      <c r="H13" s="15" t="s">
        <v>44</v>
      </c>
      <c r="I13" s="14" t="s">
        <v>44</v>
      </c>
      <c r="J13" s="17" t="s">
        <v>668</v>
      </c>
      <c r="K13" s="14"/>
      <c r="L13" s="14" t="s">
        <v>44</v>
      </c>
      <c r="M13" s="14" t="s">
        <v>44</v>
      </c>
      <c r="N13" s="14"/>
      <c r="O13" s="14"/>
      <c r="P13" s="14" t="s">
        <v>91</v>
      </c>
      <c r="Q13" s="14" t="s">
        <v>44</v>
      </c>
      <c r="R13" s="16" t="s">
        <v>625</v>
      </c>
      <c r="S13" s="14"/>
      <c r="T13" s="16" t="s">
        <v>44</v>
      </c>
      <c r="U13" s="14" t="s">
        <v>44</v>
      </c>
      <c r="V13" s="14" t="s">
        <v>44</v>
      </c>
      <c r="W13" s="16" t="s">
        <v>1409</v>
      </c>
      <c r="X13" s="14"/>
      <c r="Y13" s="14"/>
      <c r="Z13" s="14"/>
      <c r="AA13" s="14"/>
      <c r="AB13" s="14" t="s">
        <v>44</v>
      </c>
      <c r="AC13" s="14" t="s">
        <v>54</v>
      </c>
      <c r="AD13" s="21">
        <v>43734</v>
      </c>
      <c r="AE13" t="s">
        <v>44</v>
      </c>
      <c r="AF13" t="s">
        <v>44</v>
      </c>
      <c r="AG13" t="s">
        <v>44</v>
      </c>
      <c r="AH13" s="21">
        <v>43738</v>
      </c>
      <c r="AK13" t="s">
        <v>248</v>
      </c>
      <c r="AL13" t="s">
        <v>1410</v>
      </c>
    </row>
    <row r="14" spans="1:38" x14ac:dyDescent="0.3">
      <c r="A14" s="14" t="s">
        <v>79</v>
      </c>
      <c r="B14" s="14" t="s">
        <v>45</v>
      </c>
      <c r="C14" s="14" t="s">
        <v>43</v>
      </c>
      <c r="D14" s="14" t="s">
        <v>80</v>
      </c>
      <c r="E14" s="14" t="s">
        <v>81</v>
      </c>
      <c r="F14" s="14"/>
      <c r="G14" s="14" t="s">
        <v>44</v>
      </c>
      <c r="H14" s="15" t="s">
        <v>44</v>
      </c>
      <c r="I14" s="14" t="s">
        <v>44</v>
      </c>
      <c r="J14" s="17" t="s">
        <v>82</v>
      </c>
      <c r="K14" s="14"/>
      <c r="L14" s="14" t="s">
        <v>44</v>
      </c>
      <c r="M14" s="14" t="s">
        <v>44</v>
      </c>
      <c r="N14" s="14"/>
      <c r="O14" s="14"/>
      <c r="P14" s="14" t="s">
        <v>83</v>
      </c>
      <c r="Q14" s="14" t="s">
        <v>44</v>
      </c>
      <c r="R14" s="16" t="s">
        <v>44</v>
      </c>
      <c r="S14" s="14"/>
      <c r="T14" s="16" t="s">
        <v>44</v>
      </c>
      <c r="U14" s="14" t="s">
        <v>44</v>
      </c>
      <c r="V14" s="14" t="s">
        <v>44</v>
      </c>
      <c r="W14" s="16" t="s">
        <v>84</v>
      </c>
      <c r="X14" s="14"/>
      <c r="Y14" s="21">
        <v>43609</v>
      </c>
      <c r="Z14" s="22">
        <v>0.49046296296296293</v>
      </c>
      <c r="AA14" s="14"/>
      <c r="AB14" s="14" t="s">
        <v>44</v>
      </c>
      <c r="AC14" s="14" t="s">
        <v>66</v>
      </c>
      <c r="AD14" s="21">
        <v>43623</v>
      </c>
      <c r="AE14" t="s">
        <v>44</v>
      </c>
      <c r="AF14" t="s">
        <v>44</v>
      </c>
      <c r="AG14" t="s">
        <v>44</v>
      </c>
      <c r="AH14" s="21">
        <v>43616</v>
      </c>
      <c r="AK14" s="14" t="s">
        <v>263</v>
      </c>
      <c r="AL14" t="s">
        <v>573</v>
      </c>
    </row>
    <row r="15" spans="1:38" x14ac:dyDescent="0.3">
      <c r="A15" s="14" t="s">
        <v>86</v>
      </c>
      <c r="B15" s="14" t="s">
        <v>45</v>
      </c>
      <c r="C15" s="14" t="s">
        <v>43</v>
      </c>
      <c r="D15" s="14" t="s">
        <v>87</v>
      </c>
      <c r="E15" s="14" t="s">
        <v>44</v>
      </c>
      <c r="F15" s="14"/>
      <c r="G15" s="14" t="s">
        <v>44</v>
      </c>
      <c r="H15" s="15" t="s">
        <v>44</v>
      </c>
      <c r="I15" s="14" t="s">
        <v>44</v>
      </c>
      <c r="J15" s="17" t="s">
        <v>82</v>
      </c>
      <c r="K15" s="14"/>
      <c r="L15" s="14" t="s">
        <v>44</v>
      </c>
      <c r="M15" s="14" t="s">
        <v>44</v>
      </c>
      <c r="N15" s="14"/>
      <c r="O15" s="14"/>
      <c r="P15" s="14" t="s">
        <v>119</v>
      </c>
      <c r="Q15" s="14" t="s">
        <v>44</v>
      </c>
      <c r="R15" s="16" t="s">
        <v>44</v>
      </c>
      <c r="S15" s="14"/>
      <c r="T15" s="16" t="s">
        <v>85</v>
      </c>
      <c r="U15" s="14" t="s">
        <v>44</v>
      </c>
      <c r="V15" s="14" t="s">
        <v>44</v>
      </c>
      <c r="W15" s="16" t="s">
        <v>574</v>
      </c>
      <c r="X15" s="14"/>
      <c r="Y15" s="21">
        <v>43609</v>
      </c>
      <c r="Z15" s="22">
        <v>0.49418981481481478</v>
      </c>
      <c r="AA15" s="14"/>
      <c r="AB15" s="14" t="s">
        <v>44</v>
      </c>
      <c r="AC15" s="14" t="s">
        <v>66</v>
      </c>
      <c r="AD15" s="21">
        <v>43623</v>
      </c>
      <c r="AE15" s="14" t="s">
        <v>44</v>
      </c>
      <c r="AF15" s="14" t="s">
        <v>44</v>
      </c>
      <c r="AG15" s="14" t="s">
        <v>44</v>
      </c>
      <c r="AH15" s="21">
        <v>43616</v>
      </c>
      <c r="AK15" s="14" t="s">
        <v>263</v>
      </c>
      <c r="AL15" t="s">
        <v>575</v>
      </c>
    </row>
    <row r="16" spans="1:38" x14ac:dyDescent="0.3">
      <c r="A16" s="14" t="s">
        <v>88</v>
      </c>
      <c r="B16" s="14" t="s">
        <v>45</v>
      </c>
      <c r="C16" s="14" t="s">
        <v>43</v>
      </c>
      <c r="D16" s="14" t="s">
        <v>89</v>
      </c>
      <c r="E16" s="14" t="s">
        <v>245</v>
      </c>
      <c r="F16" s="14"/>
      <c r="G16" s="14" t="s">
        <v>44</v>
      </c>
      <c r="H16" s="15" t="s">
        <v>44</v>
      </c>
      <c r="I16" s="14" t="s">
        <v>44</v>
      </c>
      <c r="J16" s="17" t="s">
        <v>82</v>
      </c>
      <c r="K16" s="14"/>
      <c r="L16" s="14" t="s">
        <v>44</v>
      </c>
      <c r="M16" s="14" t="s">
        <v>44</v>
      </c>
      <c r="N16" s="14"/>
      <c r="O16" s="14"/>
      <c r="P16" s="14" t="s">
        <v>246</v>
      </c>
      <c r="Q16" s="14" t="s">
        <v>44</v>
      </c>
      <c r="R16" s="16" t="s">
        <v>44</v>
      </c>
      <c r="S16" s="14"/>
      <c r="T16" s="16" t="s">
        <v>44</v>
      </c>
      <c r="U16" s="14" t="s">
        <v>44</v>
      </c>
      <c r="V16" s="14" t="s">
        <v>44</v>
      </c>
      <c r="W16" s="16" t="s">
        <v>666</v>
      </c>
      <c r="X16" s="14"/>
      <c r="Y16" s="21">
        <v>43609</v>
      </c>
      <c r="Z16" s="22">
        <v>0.59150462962962969</v>
      </c>
      <c r="AA16" s="14"/>
      <c r="AB16" s="14" t="s">
        <v>44</v>
      </c>
      <c r="AC16" s="14" t="s">
        <v>66</v>
      </c>
      <c r="AD16" s="21">
        <v>43643</v>
      </c>
      <c r="AE16" s="14" t="s">
        <v>44</v>
      </c>
      <c r="AF16" s="14" t="s">
        <v>44</v>
      </c>
      <c r="AG16" s="14" t="s">
        <v>44</v>
      </c>
      <c r="AH16" s="21">
        <v>43630</v>
      </c>
      <c r="AK16" s="14" t="s">
        <v>263</v>
      </c>
      <c r="AL16" t="s">
        <v>667</v>
      </c>
    </row>
    <row r="17" spans="1:38" x14ac:dyDescent="0.3">
      <c r="A17" s="14" t="s">
        <v>92</v>
      </c>
      <c r="B17" s="14" t="s">
        <v>45</v>
      </c>
      <c r="C17" s="14" t="s">
        <v>43</v>
      </c>
      <c r="D17" s="14" t="s">
        <v>93</v>
      </c>
      <c r="E17" s="14" t="s">
        <v>94</v>
      </c>
      <c r="F17" s="14" t="s">
        <v>51</v>
      </c>
      <c r="G17" s="14" t="s">
        <v>95</v>
      </c>
      <c r="H17" s="15" t="s">
        <v>96</v>
      </c>
      <c r="I17" s="14" t="s">
        <v>44</v>
      </c>
      <c r="J17" s="17" t="s">
        <v>97</v>
      </c>
      <c r="K17" s="14"/>
      <c r="L17" s="14" t="s">
        <v>44</v>
      </c>
      <c r="M17" s="14" t="s">
        <v>44</v>
      </c>
      <c r="N17" s="14"/>
      <c r="O17" s="14"/>
      <c r="P17" s="14" t="s">
        <v>98</v>
      </c>
      <c r="Q17" s="14" t="s">
        <v>44</v>
      </c>
      <c r="R17" s="16" t="s">
        <v>99</v>
      </c>
      <c r="S17" s="14"/>
      <c r="T17" s="16" t="s">
        <v>44</v>
      </c>
      <c r="U17" s="14" t="s">
        <v>44</v>
      </c>
      <c r="V17" s="14" t="s">
        <v>44</v>
      </c>
      <c r="W17" s="16" t="s">
        <v>576</v>
      </c>
      <c r="X17" s="14"/>
      <c r="Y17" s="21">
        <v>43609</v>
      </c>
      <c r="Z17" s="22">
        <v>0.64956018518518521</v>
      </c>
      <c r="AA17" s="14" t="s">
        <v>6</v>
      </c>
      <c r="AB17" s="14" t="s">
        <v>95</v>
      </c>
      <c r="AC17" s="14" t="s">
        <v>100</v>
      </c>
      <c r="AD17" s="21">
        <v>43633</v>
      </c>
      <c r="AE17" s="14" t="s">
        <v>44</v>
      </c>
      <c r="AF17" s="14" t="s">
        <v>44</v>
      </c>
      <c r="AG17" s="14" t="s">
        <v>44</v>
      </c>
      <c r="AH17" s="21">
        <v>43633</v>
      </c>
      <c r="AK17" s="14" t="s">
        <v>263</v>
      </c>
      <c r="AL17" t="s">
        <v>626</v>
      </c>
    </row>
    <row r="18" spans="1:38" x14ac:dyDescent="0.3">
      <c r="A18" s="14" t="s">
        <v>101</v>
      </c>
      <c r="B18" s="14" t="s">
        <v>45</v>
      </c>
      <c r="C18" s="14" t="s">
        <v>43</v>
      </c>
      <c r="D18" s="14" t="s">
        <v>102</v>
      </c>
      <c r="E18" s="14" t="s">
        <v>597</v>
      </c>
      <c r="F18" s="14" t="s">
        <v>125</v>
      </c>
      <c r="G18" s="14" t="s">
        <v>44</v>
      </c>
      <c r="H18" s="15" t="s">
        <v>44</v>
      </c>
      <c r="I18" s="14" t="s">
        <v>44</v>
      </c>
      <c r="J18" s="17" t="s">
        <v>82</v>
      </c>
      <c r="K18" s="14"/>
      <c r="L18" s="14" t="s">
        <v>44</v>
      </c>
      <c r="M18" s="14" t="s">
        <v>44</v>
      </c>
      <c r="N18" s="14"/>
      <c r="O18" s="14"/>
      <c r="P18" s="14" t="s">
        <v>103</v>
      </c>
      <c r="Q18" s="14" t="s">
        <v>44</v>
      </c>
      <c r="R18" s="16" t="s">
        <v>598</v>
      </c>
      <c r="S18" s="14"/>
      <c r="T18" s="16" t="s">
        <v>44</v>
      </c>
      <c r="U18" s="14" t="s">
        <v>44</v>
      </c>
      <c r="V18" s="14" t="s">
        <v>44</v>
      </c>
      <c r="W18" s="16" t="s">
        <v>599</v>
      </c>
      <c r="X18" s="14"/>
      <c r="Y18" s="21">
        <v>43609</v>
      </c>
      <c r="Z18" s="22">
        <v>0.67784722222222227</v>
      </c>
      <c r="AA18" s="14"/>
      <c r="AB18" s="14" t="s">
        <v>44</v>
      </c>
      <c r="AC18" s="14" t="s">
        <v>66</v>
      </c>
      <c r="AD18" s="21">
        <v>43630</v>
      </c>
      <c r="AE18" s="14" t="s">
        <v>44</v>
      </c>
      <c r="AF18" s="14" t="s">
        <v>44</v>
      </c>
      <c r="AG18" s="14" t="s">
        <v>44</v>
      </c>
      <c r="AH18" s="21">
        <v>43623</v>
      </c>
      <c r="AK18" t="s">
        <v>263</v>
      </c>
      <c r="AL18" t="s">
        <v>600</v>
      </c>
    </row>
    <row r="19" spans="1:38" x14ac:dyDescent="0.3">
      <c r="A19" s="14" t="s">
        <v>104</v>
      </c>
      <c r="B19" s="14" t="s">
        <v>45</v>
      </c>
      <c r="C19" s="14" t="s">
        <v>43</v>
      </c>
      <c r="D19" s="14" t="s">
        <v>105</v>
      </c>
      <c r="E19" s="14" t="s">
        <v>44</v>
      </c>
      <c r="F19" s="14"/>
      <c r="G19" s="14" t="s">
        <v>44</v>
      </c>
      <c r="H19" s="15" t="s">
        <v>44</v>
      </c>
      <c r="I19" s="14" t="s">
        <v>44</v>
      </c>
      <c r="J19" s="17" t="s">
        <v>82</v>
      </c>
      <c r="K19" s="14"/>
      <c r="L19" s="14" t="s">
        <v>44</v>
      </c>
      <c r="M19" s="14" t="s">
        <v>44</v>
      </c>
      <c r="N19" s="14"/>
      <c r="O19" s="14"/>
      <c r="P19" s="14" t="s">
        <v>106</v>
      </c>
      <c r="Q19" s="14" t="s">
        <v>44</v>
      </c>
      <c r="R19" s="16" t="s">
        <v>44</v>
      </c>
      <c r="S19" s="14"/>
      <c r="T19" s="16" t="s">
        <v>44</v>
      </c>
      <c r="U19" s="14" t="s">
        <v>44</v>
      </c>
      <c r="V19" s="14" t="s">
        <v>44</v>
      </c>
      <c r="W19" s="16" t="s">
        <v>577</v>
      </c>
      <c r="X19" s="14"/>
      <c r="Y19" s="21">
        <v>43609</v>
      </c>
      <c r="Z19" s="22">
        <v>0.68424768518518519</v>
      </c>
      <c r="AA19" s="14"/>
      <c r="AB19" s="14" t="s">
        <v>44</v>
      </c>
      <c r="AC19" s="14" t="s">
        <v>66</v>
      </c>
      <c r="AD19" s="21">
        <v>43623</v>
      </c>
      <c r="AE19" s="14" t="s">
        <v>44</v>
      </c>
      <c r="AF19" s="14" t="s">
        <v>44</v>
      </c>
      <c r="AG19" s="14" t="s">
        <v>44</v>
      </c>
      <c r="AH19" s="21">
        <v>43616</v>
      </c>
      <c r="AK19" s="14" t="s">
        <v>263</v>
      </c>
      <c r="AL19" t="s">
        <v>578</v>
      </c>
    </row>
    <row r="20" spans="1:38" x14ac:dyDescent="0.3">
      <c r="A20" s="14" t="s">
        <v>107</v>
      </c>
      <c r="B20" s="14" t="s">
        <v>45</v>
      </c>
      <c r="C20" s="14" t="s">
        <v>43</v>
      </c>
      <c r="D20" s="14" t="s">
        <v>108</v>
      </c>
      <c r="E20" s="14" t="s">
        <v>44</v>
      </c>
      <c r="F20" s="14"/>
      <c r="G20" s="14" t="s">
        <v>44</v>
      </c>
      <c r="H20" s="15" t="s">
        <v>44</v>
      </c>
      <c r="I20" s="14" t="s">
        <v>44</v>
      </c>
      <c r="J20" s="17" t="s">
        <v>82</v>
      </c>
      <c r="K20" s="14"/>
      <c r="L20" s="14" t="s">
        <v>44</v>
      </c>
      <c r="M20" s="14" t="s">
        <v>44</v>
      </c>
      <c r="N20" s="14"/>
      <c r="O20" s="14"/>
      <c r="P20" s="14" t="s">
        <v>109</v>
      </c>
      <c r="Q20" s="14" t="s">
        <v>44</v>
      </c>
      <c r="R20" s="16" t="s">
        <v>110</v>
      </c>
      <c r="S20" s="14"/>
      <c r="T20" s="16" t="s">
        <v>44</v>
      </c>
      <c r="U20" s="14" t="s">
        <v>44</v>
      </c>
      <c r="V20" s="14" t="s">
        <v>44</v>
      </c>
      <c r="W20" s="16" t="s">
        <v>111</v>
      </c>
      <c r="X20" s="14"/>
      <c r="Y20" s="21">
        <v>43609</v>
      </c>
      <c r="Z20" s="22">
        <v>0.70509259259259249</v>
      </c>
      <c r="AA20" s="14"/>
      <c r="AB20" s="14" t="s">
        <v>44</v>
      </c>
      <c r="AC20" s="14" t="s">
        <v>66</v>
      </c>
      <c r="AD20" s="21">
        <v>43623</v>
      </c>
      <c r="AE20" s="14" t="s">
        <v>44</v>
      </c>
      <c r="AF20" s="14" t="s">
        <v>44</v>
      </c>
      <c r="AG20" s="14" t="s">
        <v>44</v>
      </c>
      <c r="AH20" s="21">
        <v>43616</v>
      </c>
      <c r="AK20" s="14" t="s">
        <v>263</v>
      </c>
      <c r="AL20" t="s">
        <v>579</v>
      </c>
    </row>
    <row r="21" spans="1:38" x14ac:dyDescent="0.3">
      <c r="A21" s="14" t="s">
        <v>112</v>
      </c>
      <c r="B21" s="14" t="s">
        <v>45</v>
      </c>
      <c r="C21" s="14" t="s">
        <v>43</v>
      </c>
      <c r="D21" s="14" t="s">
        <v>113</v>
      </c>
      <c r="E21" s="14" t="s">
        <v>114</v>
      </c>
      <c r="F21" s="14" t="s">
        <v>51</v>
      </c>
      <c r="G21" s="14" t="s">
        <v>115</v>
      </c>
      <c r="H21" s="15" t="s">
        <v>44</v>
      </c>
      <c r="I21" s="14" t="s">
        <v>44</v>
      </c>
      <c r="J21" s="17" t="s">
        <v>82</v>
      </c>
      <c r="K21" s="14"/>
      <c r="L21" s="14" t="s">
        <v>44</v>
      </c>
      <c r="M21" s="14" t="s">
        <v>44</v>
      </c>
      <c r="N21" s="14"/>
      <c r="O21" s="14"/>
      <c r="P21" s="14" t="s">
        <v>116</v>
      </c>
      <c r="Q21" s="14" t="s">
        <v>44</v>
      </c>
      <c r="R21" s="16" t="s">
        <v>117</v>
      </c>
      <c r="S21" s="14"/>
      <c r="T21" s="16" t="s">
        <v>44</v>
      </c>
      <c r="U21" s="14" t="s">
        <v>44</v>
      </c>
      <c r="V21" s="14" t="s">
        <v>44</v>
      </c>
      <c r="W21" s="16" t="s">
        <v>247</v>
      </c>
      <c r="X21" s="14"/>
      <c r="Y21" s="21">
        <v>43609</v>
      </c>
      <c r="Z21" s="22">
        <v>0.70739583333333333</v>
      </c>
      <c r="AA21" s="14" t="s">
        <v>53</v>
      </c>
      <c r="AB21" s="14" t="s">
        <v>118</v>
      </c>
      <c r="AC21" s="14" t="s">
        <v>54</v>
      </c>
      <c r="AD21" s="21">
        <v>43623</v>
      </c>
      <c r="AE21" s="14" t="s">
        <v>44</v>
      </c>
      <c r="AF21" s="14" t="s">
        <v>44</v>
      </c>
      <c r="AG21" s="14" t="s">
        <v>44</v>
      </c>
      <c r="AH21" s="21">
        <v>43626</v>
      </c>
      <c r="AK21" s="14" t="s">
        <v>263</v>
      </c>
      <c r="AL21" t="s">
        <v>580</v>
      </c>
    </row>
    <row r="22" spans="1:38" x14ac:dyDescent="0.3">
      <c r="A22" s="14" t="s">
        <v>130</v>
      </c>
      <c r="B22" s="14" t="s">
        <v>45</v>
      </c>
      <c r="C22" s="14" t="s">
        <v>43</v>
      </c>
      <c r="D22" s="14" t="s">
        <v>131</v>
      </c>
      <c r="E22" s="14" t="s">
        <v>132</v>
      </c>
      <c r="F22" s="14" t="s">
        <v>125</v>
      </c>
      <c r="G22" s="14" t="s">
        <v>44</v>
      </c>
      <c r="H22" s="15" t="s">
        <v>133</v>
      </c>
      <c r="I22" s="14" t="s">
        <v>44</v>
      </c>
      <c r="J22" s="17" t="s">
        <v>129</v>
      </c>
      <c r="K22" s="14" t="s">
        <v>134</v>
      </c>
      <c r="L22" s="14" t="s">
        <v>44</v>
      </c>
      <c r="M22" s="14" t="s">
        <v>44</v>
      </c>
      <c r="N22" s="14"/>
      <c r="O22" s="14"/>
      <c r="P22" s="14" t="s">
        <v>135</v>
      </c>
      <c r="Q22" s="14" t="s">
        <v>44</v>
      </c>
      <c r="R22" s="16" t="s">
        <v>136</v>
      </c>
      <c r="S22" s="14"/>
      <c r="T22" s="16" t="s">
        <v>44</v>
      </c>
      <c r="U22" s="14" t="s">
        <v>44</v>
      </c>
      <c r="V22" s="14" t="s">
        <v>44</v>
      </c>
      <c r="W22" s="16" t="s">
        <v>244</v>
      </c>
      <c r="X22" s="14"/>
      <c r="Y22" s="21">
        <v>43612</v>
      </c>
      <c r="Z22" s="22">
        <v>0.59092592592592597</v>
      </c>
      <c r="AA22" s="14" t="s">
        <v>6</v>
      </c>
      <c r="AB22" s="14" t="s">
        <v>95</v>
      </c>
      <c r="AC22" s="14" t="s">
        <v>137</v>
      </c>
      <c r="AD22" s="21">
        <v>43623</v>
      </c>
      <c r="AE22" s="14" t="s">
        <v>44</v>
      </c>
      <c r="AF22" s="14" t="s">
        <v>44</v>
      </c>
      <c r="AG22" s="14" t="s">
        <v>44</v>
      </c>
      <c r="AH22" s="21">
        <v>43616</v>
      </c>
      <c r="AK22" s="14" t="s">
        <v>263</v>
      </c>
      <c r="AL22" t="s">
        <v>581</v>
      </c>
    </row>
    <row r="23" spans="1:38" x14ac:dyDescent="0.3">
      <c r="A23" s="14" t="s">
        <v>138</v>
      </c>
      <c r="B23" s="14" t="s">
        <v>45</v>
      </c>
      <c r="C23" s="14" t="s">
        <v>43</v>
      </c>
      <c r="D23" s="14" t="s">
        <v>139</v>
      </c>
      <c r="E23" s="14" t="s">
        <v>140</v>
      </c>
      <c r="F23" s="14"/>
      <c r="G23" s="14" t="s">
        <v>44</v>
      </c>
      <c r="H23" s="15" t="s">
        <v>44</v>
      </c>
      <c r="I23" s="14" t="s">
        <v>44</v>
      </c>
      <c r="J23" s="17" t="s">
        <v>82</v>
      </c>
      <c r="K23" s="14"/>
      <c r="L23" s="14" t="s">
        <v>44</v>
      </c>
      <c r="M23" s="14" t="s">
        <v>44</v>
      </c>
      <c r="N23" s="14"/>
      <c r="O23" s="14"/>
      <c r="P23" s="14" t="s">
        <v>141</v>
      </c>
      <c r="Q23" s="14" t="s">
        <v>44</v>
      </c>
      <c r="R23" s="16" t="s">
        <v>44</v>
      </c>
      <c r="S23" s="14"/>
      <c r="T23" s="16" t="s">
        <v>44</v>
      </c>
      <c r="U23" s="14" t="s">
        <v>44</v>
      </c>
      <c r="V23" s="14" t="s">
        <v>44</v>
      </c>
      <c r="W23" s="16" t="s">
        <v>582</v>
      </c>
      <c r="X23" s="14"/>
      <c r="Y23" s="21">
        <v>43612</v>
      </c>
      <c r="Z23" s="22">
        <v>0.67452546296296301</v>
      </c>
      <c r="AA23" s="14"/>
      <c r="AB23" s="14" t="s">
        <v>44</v>
      </c>
      <c r="AC23" s="14" t="s">
        <v>66</v>
      </c>
      <c r="AD23" s="21">
        <v>43623</v>
      </c>
      <c r="AE23" s="14" t="s">
        <v>44</v>
      </c>
      <c r="AF23" s="14" t="s">
        <v>44</v>
      </c>
      <c r="AG23" s="14" t="s">
        <v>44</v>
      </c>
      <c r="AH23" s="21">
        <v>43616</v>
      </c>
      <c r="AK23" s="14" t="s">
        <v>263</v>
      </c>
      <c r="AL23" t="s">
        <v>583</v>
      </c>
    </row>
    <row r="24" spans="1:38" x14ac:dyDescent="0.3">
      <c r="A24" s="14" t="s">
        <v>142</v>
      </c>
      <c r="B24" s="14" t="s">
        <v>45</v>
      </c>
      <c r="C24" s="14" t="s">
        <v>43</v>
      </c>
      <c r="D24" s="14" t="s">
        <v>143</v>
      </c>
      <c r="E24" s="14" t="s">
        <v>144</v>
      </c>
      <c r="F24" s="14"/>
      <c r="G24" s="14" t="s">
        <v>44</v>
      </c>
      <c r="H24" s="15" t="s">
        <v>44</v>
      </c>
      <c r="I24" s="14" t="s">
        <v>44</v>
      </c>
      <c r="J24" s="17" t="s">
        <v>82</v>
      </c>
      <c r="K24" s="14"/>
      <c r="L24" s="14" t="s">
        <v>44</v>
      </c>
      <c r="M24" s="14" t="s">
        <v>44</v>
      </c>
      <c r="N24" s="14"/>
      <c r="O24" s="14"/>
      <c r="P24" s="14" t="s">
        <v>145</v>
      </c>
      <c r="Q24" s="14" t="s">
        <v>44</v>
      </c>
      <c r="R24" s="16" t="s">
        <v>44</v>
      </c>
      <c r="S24" s="14"/>
      <c r="T24" s="16" t="s">
        <v>44</v>
      </c>
      <c r="U24" s="14" t="s">
        <v>44</v>
      </c>
      <c r="V24" s="14" t="s">
        <v>44</v>
      </c>
      <c r="W24" s="16" t="s">
        <v>637</v>
      </c>
      <c r="X24" s="14"/>
      <c r="Y24" s="21">
        <v>43612</v>
      </c>
      <c r="Z24" s="22">
        <v>0.6791666666666667</v>
      </c>
      <c r="AA24" s="14"/>
      <c r="AB24" s="14" t="s">
        <v>44</v>
      </c>
      <c r="AC24" s="14" t="s">
        <v>66</v>
      </c>
      <c r="AD24" s="21">
        <v>43633</v>
      </c>
      <c r="AE24" s="14" t="s">
        <v>44</v>
      </c>
      <c r="AF24" s="14" t="s">
        <v>44</v>
      </c>
      <c r="AG24" s="14" t="s">
        <v>44</v>
      </c>
      <c r="AH24" s="21">
        <v>43630</v>
      </c>
      <c r="AK24" s="14" t="s">
        <v>263</v>
      </c>
      <c r="AL24" t="s">
        <v>638</v>
      </c>
    </row>
    <row r="25" spans="1:38" x14ac:dyDescent="0.3">
      <c r="A25" s="14" t="s">
        <v>146</v>
      </c>
      <c r="B25" s="14" t="s">
        <v>45</v>
      </c>
      <c r="C25" s="14" t="s">
        <v>43</v>
      </c>
      <c r="D25" s="14" t="s">
        <v>147</v>
      </c>
      <c r="E25" s="14" t="s">
        <v>148</v>
      </c>
      <c r="F25" s="14" t="s">
        <v>46</v>
      </c>
      <c r="G25" s="14" t="s">
        <v>584</v>
      </c>
      <c r="H25" s="15" t="s">
        <v>44</v>
      </c>
      <c r="I25" s="14" t="s">
        <v>44</v>
      </c>
      <c r="J25" s="17" t="s">
        <v>82</v>
      </c>
      <c r="K25" s="14"/>
      <c r="L25" s="14" t="s">
        <v>44</v>
      </c>
      <c r="M25" s="14" t="s">
        <v>44</v>
      </c>
      <c r="N25" s="14"/>
      <c r="O25" s="14"/>
      <c r="P25" s="14" t="s">
        <v>149</v>
      </c>
      <c r="Q25" s="14" t="s">
        <v>44</v>
      </c>
      <c r="R25" s="16" t="s">
        <v>44</v>
      </c>
      <c r="S25" s="14"/>
      <c r="T25" s="16" t="s">
        <v>44</v>
      </c>
      <c r="U25" s="14" t="s">
        <v>44</v>
      </c>
      <c r="V25" s="14" t="s">
        <v>44</v>
      </c>
      <c r="W25" s="16" t="s">
        <v>585</v>
      </c>
      <c r="X25" s="14"/>
      <c r="Y25" s="21">
        <v>43612</v>
      </c>
      <c r="Z25" s="22">
        <v>0.69096064814814817</v>
      </c>
      <c r="AA25" s="14"/>
      <c r="AB25" s="14" t="s">
        <v>44</v>
      </c>
      <c r="AC25" s="14" t="s">
        <v>66</v>
      </c>
      <c r="AD25" s="21">
        <v>43623</v>
      </c>
      <c r="AE25" s="14" t="s">
        <v>44</v>
      </c>
      <c r="AF25" s="14" t="s">
        <v>44</v>
      </c>
      <c r="AG25" s="14" t="s">
        <v>44</v>
      </c>
      <c r="AH25" s="21">
        <v>43616</v>
      </c>
      <c r="AK25" s="14" t="s">
        <v>263</v>
      </c>
      <c r="AL25" t="s">
        <v>586</v>
      </c>
    </row>
    <row r="26" spans="1:38" x14ac:dyDescent="0.3">
      <c r="A26" s="14" t="s">
        <v>150</v>
      </c>
      <c r="B26" s="14" t="s">
        <v>45</v>
      </c>
      <c r="C26" s="14" t="s">
        <v>43</v>
      </c>
      <c r="D26" s="14" t="s">
        <v>151</v>
      </c>
      <c r="E26" s="14" t="s">
        <v>152</v>
      </c>
      <c r="F26" s="14"/>
      <c r="G26" s="14" t="s">
        <v>44</v>
      </c>
      <c r="H26" s="15" t="s">
        <v>44</v>
      </c>
      <c r="I26" s="14" t="s">
        <v>44</v>
      </c>
      <c r="J26" s="17" t="s">
        <v>82</v>
      </c>
      <c r="K26" s="14"/>
      <c r="L26" s="14" t="s">
        <v>44</v>
      </c>
      <c r="M26" s="14" t="s">
        <v>44</v>
      </c>
      <c r="N26" s="14"/>
      <c r="O26" s="14"/>
      <c r="P26" s="14" t="s">
        <v>153</v>
      </c>
      <c r="Q26" s="14" t="s">
        <v>44</v>
      </c>
      <c r="R26" s="16" t="s">
        <v>44</v>
      </c>
      <c r="S26" s="14"/>
      <c r="T26" s="16" t="s">
        <v>44</v>
      </c>
      <c r="U26" s="14" t="s">
        <v>44</v>
      </c>
      <c r="V26" s="14" t="s">
        <v>44</v>
      </c>
      <c r="W26" s="16" t="s">
        <v>154</v>
      </c>
      <c r="X26" s="14"/>
      <c r="Y26" s="21">
        <v>43612</v>
      </c>
      <c r="Z26" s="22">
        <v>0.69747685185185182</v>
      </c>
      <c r="AA26" s="14"/>
      <c r="AB26" s="14" t="s">
        <v>44</v>
      </c>
      <c r="AC26" s="14" t="s">
        <v>66</v>
      </c>
      <c r="AD26" s="21">
        <v>43623</v>
      </c>
      <c r="AE26" s="14" t="s">
        <v>44</v>
      </c>
      <c r="AF26" s="14" t="s">
        <v>44</v>
      </c>
      <c r="AG26" s="14" t="s">
        <v>44</v>
      </c>
      <c r="AH26" s="21">
        <v>43616</v>
      </c>
      <c r="AK26" s="14" t="s">
        <v>263</v>
      </c>
      <c r="AL26" t="s">
        <v>587</v>
      </c>
    </row>
    <row r="27" spans="1:38" x14ac:dyDescent="0.3">
      <c r="A27" s="14" t="s">
        <v>155</v>
      </c>
      <c r="B27" s="14" t="s">
        <v>45</v>
      </c>
      <c r="C27" s="14" t="s">
        <v>43</v>
      </c>
      <c r="D27" s="14" t="s">
        <v>156</v>
      </c>
      <c r="E27" s="14" t="s">
        <v>157</v>
      </c>
      <c r="F27" s="14" t="s">
        <v>46</v>
      </c>
      <c r="G27" s="14" t="s">
        <v>126</v>
      </c>
      <c r="H27" s="15" t="s">
        <v>44</v>
      </c>
      <c r="I27" s="14" t="s">
        <v>44</v>
      </c>
      <c r="J27" s="17" t="s">
        <v>127</v>
      </c>
      <c r="K27" s="14"/>
      <c r="L27" s="14" t="s">
        <v>44</v>
      </c>
      <c r="M27" s="14" t="s">
        <v>44</v>
      </c>
      <c r="N27" s="14"/>
      <c r="O27" s="14"/>
      <c r="P27" s="14" t="s">
        <v>158</v>
      </c>
      <c r="Q27" s="14" t="s">
        <v>44</v>
      </c>
      <c r="R27" s="16" t="s">
        <v>159</v>
      </c>
      <c r="S27" s="14"/>
      <c r="T27" s="16" t="s">
        <v>44</v>
      </c>
      <c r="U27" s="14" t="s">
        <v>44</v>
      </c>
      <c r="V27" s="14" t="s">
        <v>44</v>
      </c>
      <c r="W27" s="16" t="s">
        <v>160</v>
      </c>
      <c r="X27" s="14"/>
      <c r="Y27" s="21">
        <v>43613</v>
      </c>
      <c r="Z27" s="22">
        <v>0.45118055555555553</v>
      </c>
      <c r="AA27" s="14" t="s">
        <v>6</v>
      </c>
      <c r="AB27" s="14" t="s">
        <v>44</v>
      </c>
      <c r="AC27" s="14" t="s">
        <v>66</v>
      </c>
      <c r="AD27" s="21">
        <v>43623</v>
      </c>
      <c r="AE27" s="14" t="s">
        <v>44</v>
      </c>
      <c r="AF27" s="14" t="s">
        <v>44</v>
      </c>
      <c r="AG27" s="14" t="s">
        <v>44</v>
      </c>
      <c r="AH27" s="21">
        <v>43616</v>
      </c>
      <c r="AK27" s="14" t="s">
        <v>263</v>
      </c>
      <c r="AL27" t="s">
        <v>588</v>
      </c>
    </row>
    <row r="28" spans="1:38" x14ac:dyDescent="0.3">
      <c r="A28" s="20" t="s">
        <v>130</v>
      </c>
      <c r="B28" s="14" t="s">
        <v>161</v>
      </c>
      <c r="C28" s="14" t="s">
        <v>43</v>
      </c>
      <c r="D28" s="14" t="s">
        <v>162</v>
      </c>
      <c r="E28" s="14" t="s">
        <v>132</v>
      </c>
      <c r="F28" s="14" t="s">
        <v>125</v>
      </c>
      <c r="G28" s="14" t="s">
        <v>163</v>
      </c>
      <c r="H28" s="15" t="s">
        <v>133</v>
      </c>
      <c r="I28" s="14" t="s">
        <v>44</v>
      </c>
      <c r="J28" s="17" t="s">
        <v>129</v>
      </c>
      <c r="K28" s="14"/>
      <c r="L28" s="14" t="s">
        <v>44</v>
      </c>
      <c r="M28" s="14" t="s">
        <v>44</v>
      </c>
      <c r="N28" s="14"/>
      <c r="O28" s="14"/>
      <c r="P28" s="14" t="s">
        <v>135</v>
      </c>
      <c r="Q28" s="14" t="s">
        <v>44</v>
      </c>
      <c r="R28" s="16" t="s">
        <v>136</v>
      </c>
      <c r="S28" s="14"/>
      <c r="T28" s="16" t="s">
        <v>164</v>
      </c>
      <c r="U28" s="14" t="s">
        <v>44</v>
      </c>
      <c r="V28" s="14" t="s">
        <v>44</v>
      </c>
      <c r="W28" s="16" t="s">
        <v>589</v>
      </c>
      <c r="X28" s="14"/>
      <c r="Y28" s="21">
        <v>43613</v>
      </c>
      <c r="Z28" s="22">
        <v>0.47498842592592588</v>
      </c>
      <c r="AA28" s="14" t="s">
        <v>6</v>
      </c>
      <c r="AB28" s="14" t="s">
        <v>95</v>
      </c>
      <c r="AC28" s="14" t="s">
        <v>137</v>
      </c>
      <c r="AD28" s="21">
        <v>43623</v>
      </c>
      <c r="AE28" s="14" t="s">
        <v>44</v>
      </c>
      <c r="AF28" s="14" t="s">
        <v>44</v>
      </c>
      <c r="AG28" s="14" t="s">
        <v>44</v>
      </c>
      <c r="AH28" s="21">
        <v>43616</v>
      </c>
      <c r="AK28" s="14" t="s">
        <v>263</v>
      </c>
      <c r="AL28" t="s">
        <v>590</v>
      </c>
    </row>
    <row r="29" spans="1:38" x14ac:dyDescent="0.3">
      <c r="A29" s="14" t="s">
        <v>165</v>
      </c>
      <c r="B29" s="14" t="s">
        <v>45</v>
      </c>
      <c r="C29" s="14" t="s">
        <v>43</v>
      </c>
      <c r="D29" s="14" t="s">
        <v>166</v>
      </c>
      <c r="E29" s="14" t="s">
        <v>167</v>
      </c>
      <c r="F29" s="14" t="s">
        <v>46</v>
      </c>
      <c r="G29" s="14" t="s">
        <v>44</v>
      </c>
      <c r="H29" s="15" t="s">
        <v>168</v>
      </c>
      <c r="I29" s="14" t="s">
        <v>44</v>
      </c>
      <c r="J29" s="17" t="s">
        <v>127</v>
      </c>
      <c r="K29" s="14"/>
      <c r="L29" s="14" t="s">
        <v>44</v>
      </c>
      <c r="M29" s="14" t="s">
        <v>44</v>
      </c>
      <c r="N29" s="14"/>
      <c r="O29" s="14"/>
      <c r="P29" s="14" t="s">
        <v>169</v>
      </c>
      <c r="Q29" s="14" t="s">
        <v>44</v>
      </c>
      <c r="R29" s="16" t="s">
        <v>170</v>
      </c>
      <c r="S29" s="14"/>
      <c r="T29" s="16" t="s">
        <v>44</v>
      </c>
      <c r="U29" s="14" t="s">
        <v>44</v>
      </c>
      <c r="V29" s="14" t="s">
        <v>44</v>
      </c>
      <c r="W29" s="16" t="s">
        <v>591</v>
      </c>
      <c r="X29" s="14"/>
      <c r="Y29" s="21">
        <v>43613</v>
      </c>
      <c r="Z29" s="22">
        <v>0.48820601851851847</v>
      </c>
      <c r="AA29" s="14" t="s">
        <v>6</v>
      </c>
      <c r="AB29" s="14" t="s">
        <v>171</v>
      </c>
      <c r="AC29" s="14" t="s">
        <v>66</v>
      </c>
      <c r="AD29" s="21">
        <v>43623</v>
      </c>
      <c r="AE29" s="14" t="s">
        <v>44</v>
      </c>
      <c r="AF29" s="14" t="s">
        <v>44</v>
      </c>
      <c r="AG29" s="14" t="s">
        <v>44</v>
      </c>
      <c r="AH29" s="21">
        <v>43616</v>
      </c>
      <c r="AK29" s="14" t="s">
        <v>263</v>
      </c>
      <c r="AL29" t="s">
        <v>592</v>
      </c>
    </row>
    <row r="30" spans="1:38" x14ac:dyDescent="0.3">
      <c r="A30" s="14" t="s">
        <v>172</v>
      </c>
      <c r="B30" s="14" t="s">
        <v>45</v>
      </c>
      <c r="C30" s="14" t="s">
        <v>43</v>
      </c>
      <c r="D30" s="14" t="s">
        <v>173</v>
      </c>
      <c r="E30" s="14" t="s">
        <v>235</v>
      </c>
      <c r="F30" s="14" t="s">
        <v>51</v>
      </c>
      <c r="G30" s="14" t="s">
        <v>90</v>
      </c>
      <c r="H30" s="15" t="s">
        <v>44</v>
      </c>
      <c r="I30" s="14" t="s">
        <v>44</v>
      </c>
      <c r="J30" s="17" t="s">
        <v>82</v>
      </c>
      <c r="K30" s="14"/>
      <c r="L30" s="14" t="s">
        <v>44</v>
      </c>
      <c r="M30" s="14" t="s">
        <v>44</v>
      </c>
      <c r="N30" s="14"/>
      <c r="O30" s="14"/>
      <c r="P30" s="14" t="s">
        <v>174</v>
      </c>
      <c r="Q30" s="14" t="s">
        <v>593</v>
      </c>
      <c r="R30" s="16" t="s">
        <v>175</v>
      </c>
      <c r="S30" s="14"/>
      <c r="T30" s="16" t="s">
        <v>44</v>
      </c>
      <c r="U30" s="14" t="s">
        <v>236</v>
      </c>
      <c r="V30" s="14" t="s">
        <v>176</v>
      </c>
      <c r="W30" s="16" t="s">
        <v>601</v>
      </c>
      <c r="X30" s="14"/>
      <c r="Y30" s="21">
        <v>43613</v>
      </c>
      <c r="Z30" s="22">
        <v>0.70518518518518514</v>
      </c>
      <c r="AA30" s="14" t="s">
        <v>53</v>
      </c>
      <c r="AB30" s="14" t="s">
        <v>128</v>
      </c>
      <c r="AC30" s="14" t="s">
        <v>66</v>
      </c>
      <c r="AD30" s="21">
        <v>43630</v>
      </c>
      <c r="AE30" s="14" t="s">
        <v>44</v>
      </c>
      <c r="AF30" s="14" t="s">
        <v>44</v>
      </c>
      <c r="AG30" s="14" t="s">
        <v>44</v>
      </c>
      <c r="AH30" s="21">
        <v>43626</v>
      </c>
      <c r="AK30" s="14" t="s">
        <v>263</v>
      </c>
      <c r="AL30" t="s">
        <v>602</v>
      </c>
    </row>
    <row r="31" spans="1:38" ht="302.39999999999998" x14ac:dyDescent="0.3">
      <c r="A31" s="14" t="s">
        <v>177</v>
      </c>
      <c r="B31" s="14" t="s">
        <v>42</v>
      </c>
      <c r="C31" s="14" t="s">
        <v>43</v>
      </c>
      <c r="D31" s="14" t="s">
        <v>178</v>
      </c>
      <c r="E31" s="14" t="s">
        <v>179</v>
      </c>
      <c r="F31" s="14" t="s">
        <v>51</v>
      </c>
      <c r="G31" s="14" t="s">
        <v>180</v>
      </c>
      <c r="H31" s="15" t="s">
        <v>44</v>
      </c>
      <c r="I31" s="14" t="s">
        <v>44</v>
      </c>
      <c r="J31" s="17" t="s">
        <v>181</v>
      </c>
      <c r="K31" s="14"/>
      <c r="L31" s="14" t="s">
        <v>44</v>
      </c>
      <c r="M31" s="14" t="s">
        <v>44</v>
      </c>
      <c r="N31" s="14"/>
      <c r="O31" s="14"/>
      <c r="P31" s="14" t="s">
        <v>182</v>
      </c>
      <c r="Q31" s="14" t="s">
        <v>44</v>
      </c>
      <c r="R31" s="16" t="s">
        <v>594</v>
      </c>
      <c r="S31" s="14"/>
      <c r="T31" s="16" t="s">
        <v>44</v>
      </c>
      <c r="U31" s="14" t="s">
        <v>44</v>
      </c>
      <c r="V31" s="14" t="s">
        <v>183</v>
      </c>
      <c r="W31" s="25" t="s">
        <v>1417</v>
      </c>
      <c r="X31" s="14"/>
      <c r="Y31" s="21">
        <v>43613</v>
      </c>
      <c r="Z31" s="22">
        <v>0.72027777777777768</v>
      </c>
      <c r="AA31" s="14" t="s">
        <v>6</v>
      </c>
      <c r="AB31" s="14" t="s">
        <v>128</v>
      </c>
      <c r="AC31" s="14" t="s">
        <v>54</v>
      </c>
      <c r="AD31" s="21">
        <v>43735</v>
      </c>
      <c r="AE31" s="14" t="s">
        <v>44</v>
      </c>
      <c r="AF31" s="14" t="s">
        <v>44</v>
      </c>
      <c r="AG31" s="14" t="s">
        <v>44</v>
      </c>
      <c r="AH31" s="21">
        <v>43738</v>
      </c>
      <c r="AK31" s="14" t="s">
        <v>248</v>
      </c>
      <c r="AL31" t="s">
        <v>1420</v>
      </c>
    </row>
    <row r="32" spans="1:38" x14ac:dyDescent="0.3">
      <c r="A32" s="14" t="s">
        <v>184</v>
      </c>
      <c r="B32" s="14" t="s">
        <v>45</v>
      </c>
      <c r="C32" s="14" t="s">
        <v>43</v>
      </c>
      <c r="D32" s="14" t="s">
        <v>185</v>
      </c>
      <c r="E32" s="14" t="s">
        <v>186</v>
      </c>
      <c r="F32" s="14" t="s">
        <v>51</v>
      </c>
      <c r="G32" s="14" t="s">
        <v>44</v>
      </c>
      <c r="H32" s="15" t="s">
        <v>44</v>
      </c>
      <c r="I32" s="14" t="s">
        <v>44</v>
      </c>
      <c r="J32" s="17" t="s">
        <v>82</v>
      </c>
      <c r="K32" s="14"/>
      <c r="L32" s="14" t="s">
        <v>44</v>
      </c>
      <c r="M32" s="14" t="s">
        <v>44</v>
      </c>
      <c r="N32" s="14"/>
      <c r="O32" s="14"/>
      <c r="P32" s="14" t="s">
        <v>187</v>
      </c>
      <c r="Q32" s="14" t="s">
        <v>44</v>
      </c>
      <c r="R32" s="16" t="s">
        <v>44</v>
      </c>
      <c r="S32" s="14"/>
      <c r="T32" s="16" t="s">
        <v>44</v>
      </c>
      <c r="U32" s="14" t="s">
        <v>44</v>
      </c>
      <c r="V32" s="14" t="s">
        <v>44</v>
      </c>
      <c r="W32" s="16" t="s">
        <v>188</v>
      </c>
      <c r="X32" s="14"/>
      <c r="Y32" s="21">
        <v>43614</v>
      </c>
      <c r="Z32" s="22">
        <v>0.6071643518518518</v>
      </c>
      <c r="AA32" s="14"/>
      <c r="AB32" s="14" t="s">
        <v>44</v>
      </c>
      <c r="AC32" s="14" t="s">
        <v>66</v>
      </c>
      <c r="AD32" s="21">
        <v>43630</v>
      </c>
      <c r="AE32" s="14" t="s">
        <v>44</v>
      </c>
      <c r="AF32" s="14" t="s">
        <v>44</v>
      </c>
      <c r="AG32" s="14" t="s">
        <v>44</v>
      </c>
      <c r="AH32" s="21">
        <v>43629</v>
      </c>
      <c r="AK32" s="14" t="s">
        <v>263</v>
      </c>
      <c r="AL32" t="s">
        <v>603</v>
      </c>
    </row>
    <row r="33" spans="1:38" x14ac:dyDescent="0.3">
      <c r="A33" s="14" t="s">
        <v>189</v>
      </c>
      <c r="B33" s="14" t="s">
        <v>45</v>
      </c>
      <c r="C33" s="14" t="s">
        <v>43</v>
      </c>
      <c r="D33" s="14" t="s">
        <v>190</v>
      </c>
      <c r="E33" s="14" t="s">
        <v>191</v>
      </c>
      <c r="F33" s="14" t="s">
        <v>51</v>
      </c>
      <c r="G33" s="14" t="s">
        <v>44</v>
      </c>
      <c r="H33" s="15" t="s">
        <v>44</v>
      </c>
      <c r="I33" s="14" t="s">
        <v>44</v>
      </c>
      <c r="J33" s="17" t="s">
        <v>82</v>
      </c>
      <c r="K33" s="14"/>
      <c r="L33" s="14" t="s">
        <v>44</v>
      </c>
      <c r="M33" s="14" t="s">
        <v>44</v>
      </c>
      <c r="N33" s="14"/>
      <c r="O33" s="14"/>
      <c r="P33" s="14" t="s">
        <v>44</v>
      </c>
      <c r="Q33" s="14" t="s">
        <v>44</v>
      </c>
      <c r="R33" s="16" t="s">
        <v>44</v>
      </c>
      <c r="S33" s="14"/>
      <c r="T33" s="16" t="s">
        <v>44</v>
      </c>
      <c r="U33" s="14" t="s">
        <v>44</v>
      </c>
      <c r="V33" s="14" t="s">
        <v>44</v>
      </c>
      <c r="W33" s="16" t="s">
        <v>192</v>
      </c>
      <c r="X33" s="14"/>
      <c r="Y33" s="21">
        <v>43614</v>
      </c>
      <c r="Z33" s="22">
        <v>0.61328703703703702</v>
      </c>
      <c r="AA33" s="14"/>
      <c r="AB33" s="14" t="s">
        <v>44</v>
      </c>
      <c r="AC33" s="14" t="s">
        <v>66</v>
      </c>
      <c r="AD33" s="21">
        <v>43630</v>
      </c>
      <c r="AE33" s="14" t="s">
        <v>44</v>
      </c>
      <c r="AF33" s="14" t="s">
        <v>44</v>
      </c>
      <c r="AG33" s="14" t="s">
        <v>44</v>
      </c>
      <c r="AH33" s="21">
        <v>43629</v>
      </c>
      <c r="AK33" s="14" t="s">
        <v>263</v>
      </c>
      <c r="AL33" t="s">
        <v>604</v>
      </c>
    </row>
    <row r="34" spans="1:38" x14ac:dyDescent="0.3">
      <c r="A34" s="14">
        <v>23835466000102</v>
      </c>
      <c r="B34" s="14" t="s">
        <v>45</v>
      </c>
      <c r="C34" s="26" t="s">
        <v>43</v>
      </c>
      <c r="D34" s="26" t="s">
        <v>193</v>
      </c>
      <c r="E34" s="26" t="s">
        <v>1231</v>
      </c>
      <c r="F34" s="14" t="s">
        <v>46</v>
      </c>
      <c r="G34" s="14" t="s">
        <v>1411</v>
      </c>
      <c r="H34" s="15">
        <v>10</v>
      </c>
      <c r="I34" s="14" t="s">
        <v>44</v>
      </c>
      <c r="J34" s="17">
        <v>692</v>
      </c>
      <c r="K34" s="14" t="s">
        <v>47</v>
      </c>
      <c r="L34" s="14" t="s">
        <v>44</v>
      </c>
      <c r="M34" s="14"/>
      <c r="N34" s="14" t="s">
        <v>44</v>
      </c>
      <c r="O34" s="14"/>
      <c r="P34" s="26" t="s">
        <v>196</v>
      </c>
      <c r="Q34" s="14" t="s">
        <v>44</v>
      </c>
      <c r="R34" s="26" t="s">
        <v>197</v>
      </c>
      <c r="S34" s="14" t="s">
        <v>44</v>
      </c>
      <c r="T34" s="25"/>
      <c r="U34" s="14" t="s">
        <v>44</v>
      </c>
      <c r="V34" s="14" t="s">
        <v>44</v>
      </c>
      <c r="W34" s="16" t="s">
        <v>1412</v>
      </c>
      <c r="X34" s="14" t="s">
        <v>6</v>
      </c>
      <c r="Y34" s="21"/>
      <c r="Z34" s="22"/>
      <c r="AA34" s="21"/>
      <c r="AB34" s="14">
        <v>95</v>
      </c>
      <c r="AC34" s="22" t="s">
        <v>137</v>
      </c>
      <c r="AD34" s="21">
        <v>43734</v>
      </c>
      <c r="AE34" s="21"/>
      <c r="AF34" s="14" t="s">
        <v>44</v>
      </c>
      <c r="AG34" s="14" t="s">
        <v>44</v>
      </c>
      <c r="AH34" s="21">
        <v>43738</v>
      </c>
      <c r="AI34" t="s">
        <v>1414</v>
      </c>
      <c r="AK34" s="14" t="s">
        <v>248</v>
      </c>
      <c r="AL34" t="s">
        <v>1413</v>
      </c>
    </row>
    <row r="35" spans="1:38" ht="187.2" x14ac:dyDescent="0.3">
      <c r="A35" t="s">
        <v>237</v>
      </c>
      <c r="B35" t="s">
        <v>45</v>
      </c>
      <c r="C35" t="s">
        <v>43</v>
      </c>
      <c r="D35" t="s">
        <v>238</v>
      </c>
      <c r="E35" t="s">
        <v>239</v>
      </c>
      <c r="F35" t="s">
        <v>51</v>
      </c>
      <c r="G35" t="s">
        <v>115</v>
      </c>
      <c r="H35" s="1" t="s">
        <v>194</v>
      </c>
      <c r="I35" t="s">
        <v>195</v>
      </c>
      <c r="J35" s="11" t="s">
        <v>668</v>
      </c>
      <c r="L35" t="s">
        <v>44</v>
      </c>
      <c r="M35" t="s">
        <v>44</v>
      </c>
      <c r="P35" t="s">
        <v>240</v>
      </c>
      <c r="Q35" t="s">
        <v>44</v>
      </c>
      <c r="R35" s="6" t="s">
        <v>241</v>
      </c>
      <c r="T35" s="16" t="s">
        <v>44</v>
      </c>
      <c r="U35" t="s">
        <v>44</v>
      </c>
      <c r="V35" t="s">
        <v>44</v>
      </c>
      <c r="W35" s="25" t="s">
        <v>1418</v>
      </c>
      <c r="Y35" s="21">
        <v>43616</v>
      </c>
      <c r="Z35" s="22">
        <v>0.71388888888888891</v>
      </c>
      <c r="AA35" t="s">
        <v>6</v>
      </c>
      <c r="AB35" t="s">
        <v>95</v>
      </c>
      <c r="AC35" t="s">
        <v>137</v>
      </c>
      <c r="AD35" s="21">
        <v>43735</v>
      </c>
      <c r="AE35" t="s">
        <v>44</v>
      </c>
      <c r="AF35" t="s">
        <v>44</v>
      </c>
      <c r="AG35" t="s">
        <v>44</v>
      </c>
      <c r="AH35" s="21">
        <v>43738</v>
      </c>
      <c r="AK35" s="14" t="s">
        <v>248</v>
      </c>
      <c r="AL35" t="s">
        <v>1419</v>
      </c>
    </row>
    <row r="36" spans="1:38" ht="388.8" x14ac:dyDescent="0.3">
      <c r="A36" t="s">
        <v>249</v>
      </c>
      <c r="B36" t="s">
        <v>45</v>
      </c>
      <c r="C36" t="s">
        <v>43</v>
      </c>
      <c r="D36" t="s">
        <v>250</v>
      </c>
      <c r="E36" t="s">
        <v>1233</v>
      </c>
      <c r="F36" t="s">
        <v>51</v>
      </c>
      <c r="G36" t="s">
        <v>252</v>
      </c>
      <c r="H36" s="1" t="s">
        <v>253</v>
      </c>
      <c r="I36" t="s">
        <v>254</v>
      </c>
      <c r="J36" s="11" t="s">
        <v>1415</v>
      </c>
      <c r="K36" t="s">
        <v>134</v>
      </c>
      <c r="L36" t="s">
        <v>44</v>
      </c>
      <c r="M36" t="s">
        <v>44</v>
      </c>
      <c r="P36" t="s">
        <v>255</v>
      </c>
      <c r="Q36" t="s">
        <v>44</v>
      </c>
      <c r="R36" s="6" t="s">
        <v>256</v>
      </c>
      <c r="T36" s="16" t="s">
        <v>44</v>
      </c>
      <c r="U36" t="s">
        <v>44</v>
      </c>
      <c r="V36" t="s">
        <v>44</v>
      </c>
      <c r="W36" s="25" t="s">
        <v>777</v>
      </c>
      <c r="Y36" s="21">
        <v>43620</v>
      </c>
      <c r="Z36" s="22">
        <v>0.41471064814814818</v>
      </c>
      <c r="AA36" t="s">
        <v>6</v>
      </c>
      <c r="AB36" t="s">
        <v>95</v>
      </c>
      <c r="AC36" t="s">
        <v>137</v>
      </c>
      <c r="AD36" s="21">
        <v>43734</v>
      </c>
      <c r="AE36" t="s">
        <v>44</v>
      </c>
      <c r="AF36" t="s">
        <v>44</v>
      </c>
      <c r="AG36" t="s">
        <v>44</v>
      </c>
      <c r="AH36" s="21">
        <v>43738</v>
      </c>
      <c r="AK36" t="s">
        <v>248</v>
      </c>
      <c r="AL36" t="s">
        <v>1416</v>
      </c>
    </row>
    <row r="37" spans="1:38" x14ac:dyDescent="0.3">
      <c r="A37" t="s">
        <v>258</v>
      </c>
      <c r="B37" t="s">
        <v>45</v>
      </c>
      <c r="C37" t="s">
        <v>43</v>
      </c>
      <c r="D37" t="s">
        <v>259</v>
      </c>
      <c r="E37" t="s">
        <v>260</v>
      </c>
      <c r="F37" t="s">
        <v>199</v>
      </c>
      <c r="G37" t="s">
        <v>44</v>
      </c>
      <c r="H37" s="1" t="s">
        <v>44</v>
      </c>
      <c r="I37" t="s">
        <v>44</v>
      </c>
      <c r="J37" s="11" t="s">
        <v>82</v>
      </c>
      <c r="K37" t="s">
        <v>44</v>
      </c>
      <c r="L37" t="s">
        <v>44</v>
      </c>
      <c r="M37" t="s">
        <v>44</v>
      </c>
      <c r="N37" t="s">
        <v>44</v>
      </c>
      <c r="P37" t="s">
        <v>261</v>
      </c>
      <c r="Q37" t="s">
        <v>44</v>
      </c>
      <c r="R37" s="6" t="s">
        <v>44</v>
      </c>
      <c r="T37" s="16" t="s">
        <v>44</v>
      </c>
      <c r="U37" t="s">
        <v>44</v>
      </c>
      <c r="V37" t="s">
        <v>44</v>
      </c>
      <c r="W37" s="16" t="s">
        <v>262</v>
      </c>
      <c r="Y37" s="21">
        <v>43620</v>
      </c>
      <c r="Z37" s="22">
        <v>0.44923611111111111</v>
      </c>
      <c r="AA37" t="s">
        <v>6</v>
      </c>
      <c r="AB37" t="s">
        <v>95</v>
      </c>
      <c r="AC37" t="s">
        <v>66</v>
      </c>
      <c r="AD37" t="s">
        <v>257</v>
      </c>
      <c r="AE37" t="s">
        <v>44</v>
      </c>
      <c r="AF37" t="s">
        <v>44</v>
      </c>
      <c r="AG37" t="s">
        <v>44</v>
      </c>
      <c r="AH37" s="21">
        <v>43635</v>
      </c>
      <c r="AK37" t="s">
        <v>263</v>
      </c>
    </row>
    <row r="38" spans="1:38" x14ac:dyDescent="0.3">
      <c r="A38" t="s">
        <v>264</v>
      </c>
      <c r="B38" t="s">
        <v>45</v>
      </c>
      <c r="C38" t="s">
        <v>43</v>
      </c>
      <c r="D38" t="s">
        <v>265</v>
      </c>
      <c r="E38" t="s">
        <v>266</v>
      </c>
      <c r="F38" t="s">
        <v>51</v>
      </c>
      <c r="G38" t="s">
        <v>44</v>
      </c>
      <c r="H38" s="1" t="s">
        <v>44</v>
      </c>
      <c r="I38" t="s">
        <v>44</v>
      </c>
      <c r="J38" s="11" t="s">
        <v>82</v>
      </c>
      <c r="L38" t="s">
        <v>44</v>
      </c>
      <c r="M38" t="s">
        <v>44</v>
      </c>
      <c r="P38" t="s">
        <v>267</v>
      </c>
      <c r="Q38" t="s">
        <v>44</v>
      </c>
      <c r="R38" s="6" t="s">
        <v>268</v>
      </c>
      <c r="T38" s="16" t="s">
        <v>44</v>
      </c>
      <c r="U38" t="s">
        <v>44</v>
      </c>
      <c r="V38" t="s">
        <v>44</v>
      </c>
      <c r="W38" s="16" t="s">
        <v>605</v>
      </c>
      <c r="Y38" s="21">
        <v>43620</v>
      </c>
      <c r="Z38" s="22">
        <v>0.45454861111111106</v>
      </c>
      <c r="AB38" t="s">
        <v>44</v>
      </c>
      <c r="AC38" t="s">
        <v>66</v>
      </c>
      <c r="AD38" s="21">
        <v>43630</v>
      </c>
      <c r="AE38" t="s">
        <v>44</v>
      </c>
      <c r="AF38" t="s">
        <v>44</v>
      </c>
      <c r="AG38" t="s">
        <v>44</v>
      </c>
      <c r="AH38" s="21">
        <v>43628</v>
      </c>
      <c r="AK38" t="s">
        <v>263</v>
      </c>
      <c r="AL38" t="s">
        <v>606</v>
      </c>
    </row>
    <row r="39" spans="1:38" x14ac:dyDescent="0.3">
      <c r="A39" t="s">
        <v>269</v>
      </c>
      <c r="B39" t="s">
        <v>45</v>
      </c>
      <c r="C39" t="s">
        <v>43</v>
      </c>
      <c r="D39" t="s">
        <v>270</v>
      </c>
      <c r="E39" t="s">
        <v>271</v>
      </c>
      <c r="F39" t="s">
        <v>51</v>
      </c>
      <c r="G39" t="s">
        <v>845</v>
      </c>
      <c r="H39" s="1" t="s">
        <v>846</v>
      </c>
      <c r="I39" t="s">
        <v>44</v>
      </c>
      <c r="J39" s="11" t="s">
        <v>668</v>
      </c>
      <c r="L39" t="s">
        <v>44</v>
      </c>
      <c r="M39" t="s">
        <v>44</v>
      </c>
      <c r="P39" t="s">
        <v>290</v>
      </c>
      <c r="Q39" t="s">
        <v>44</v>
      </c>
      <c r="R39" s="6" t="s">
        <v>291</v>
      </c>
      <c r="T39" s="16" t="s">
        <v>44</v>
      </c>
      <c r="U39" t="s">
        <v>44</v>
      </c>
      <c r="V39" t="s">
        <v>44</v>
      </c>
      <c r="W39" s="16" t="s">
        <v>1236</v>
      </c>
      <c r="Y39" s="21">
        <v>43620</v>
      </c>
      <c r="Z39" s="22">
        <v>0.46954861111111112</v>
      </c>
      <c r="AA39" t="s">
        <v>53</v>
      </c>
      <c r="AB39" t="s">
        <v>204</v>
      </c>
      <c r="AC39" t="s">
        <v>137</v>
      </c>
      <c r="AD39" s="21">
        <v>43676</v>
      </c>
      <c r="AE39" t="s">
        <v>44</v>
      </c>
      <c r="AF39" t="s">
        <v>44</v>
      </c>
      <c r="AG39" t="s">
        <v>44</v>
      </c>
      <c r="AH39" s="21">
        <v>43682</v>
      </c>
      <c r="AK39" t="s">
        <v>248</v>
      </c>
      <c r="AL39" t="s">
        <v>1237</v>
      </c>
    </row>
    <row r="40" spans="1:38" x14ac:dyDescent="0.3">
      <c r="A40" t="s">
        <v>272</v>
      </c>
      <c r="B40" t="s">
        <v>45</v>
      </c>
      <c r="C40" t="s">
        <v>43</v>
      </c>
      <c r="D40" t="s">
        <v>273</v>
      </c>
      <c r="E40" t="s">
        <v>274</v>
      </c>
      <c r="F40" t="s">
        <v>51</v>
      </c>
      <c r="G40" t="s">
        <v>44</v>
      </c>
      <c r="H40" s="1" t="s">
        <v>44</v>
      </c>
      <c r="I40" t="s">
        <v>44</v>
      </c>
      <c r="J40" s="11" t="s">
        <v>82</v>
      </c>
      <c r="K40" t="s">
        <v>44</v>
      </c>
      <c r="L40" t="s">
        <v>44</v>
      </c>
      <c r="M40" t="s">
        <v>44</v>
      </c>
      <c r="N40" t="s">
        <v>44</v>
      </c>
      <c r="P40" t="s">
        <v>275</v>
      </c>
      <c r="Q40" t="s">
        <v>44</v>
      </c>
      <c r="R40" s="6" t="s">
        <v>44</v>
      </c>
      <c r="T40" s="16" t="s">
        <v>44</v>
      </c>
      <c r="U40" t="s">
        <v>44</v>
      </c>
      <c r="V40" t="s">
        <v>44</v>
      </c>
      <c r="W40" s="16" t="s">
        <v>276</v>
      </c>
      <c r="Y40" s="21">
        <v>43620</v>
      </c>
      <c r="Z40" s="22">
        <v>0.49278935185185185</v>
      </c>
      <c r="AA40" t="s">
        <v>44</v>
      </c>
      <c r="AB40" t="s">
        <v>44</v>
      </c>
      <c r="AC40" t="s">
        <v>66</v>
      </c>
      <c r="AD40" t="s">
        <v>257</v>
      </c>
      <c r="AE40" t="s">
        <v>44</v>
      </c>
      <c r="AF40" t="s">
        <v>44</v>
      </c>
      <c r="AG40" t="s">
        <v>44</v>
      </c>
      <c r="AH40" s="21">
        <v>43620</v>
      </c>
      <c r="AK40" t="s">
        <v>263</v>
      </c>
    </row>
    <row r="41" spans="1:38" x14ac:dyDescent="0.3">
      <c r="A41" t="s">
        <v>277</v>
      </c>
      <c r="B41" t="s">
        <v>45</v>
      </c>
      <c r="C41" t="s">
        <v>43</v>
      </c>
      <c r="D41" t="s">
        <v>278</v>
      </c>
      <c r="E41" t="s">
        <v>279</v>
      </c>
      <c r="F41" t="s">
        <v>51</v>
      </c>
      <c r="G41" t="s">
        <v>280</v>
      </c>
      <c r="H41" s="1" t="s">
        <v>44</v>
      </c>
      <c r="I41" t="s">
        <v>44</v>
      </c>
      <c r="J41" s="11" t="s">
        <v>82</v>
      </c>
      <c r="L41" t="s">
        <v>44</v>
      </c>
      <c r="M41" t="s">
        <v>44</v>
      </c>
      <c r="P41" t="s">
        <v>281</v>
      </c>
      <c r="Q41" t="s">
        <v>44</v>
      </c>
      <c r="R41" s="6" t="s">
        <v>282</v>
      </c>
      <c r="T41" s="16" t="s">
        <v>44</v>
      </c>
      <c r="U41" t="s">
        <v>44</v>
      </c>
      <c r="V41" t="s">
        <v>44</v>
      </c>
      <c r="W41" s="16" t="s">
        <v>669</v>
      </c>
      <c r="Y41" s="21">
        <v>43620</v>
      </c>
      <c r="Z41" s="22">
        <v>0.63679398148148147</v>
      </c>
      <c r="AA41" t="s">
        <v>6</v>
      </c>
      <c r="AB41" t="s">
        <v>44</v>
      </c>
      <c r="AC41" t="s">
        <v>66</v>
      </c>
      <c r="AD41" s="21">
        <v>43643</v>
      </c>
      <c r="AE41" t="s">
        <v>44</v>
      </c>
      <c r="AF41" t="s">
        <v>44</v>
      </c>
      <c r="AG41" t="s">
        <v>44</v>
      </c>
      <c r="AH41" s="21">
        <v>43635</v>
      </c>
      <c r="AK41" t="s">
        <v>263</v>
      </c>
      <c r="AL41" t="s">
        <v>670</v>
      </c>
    </row>
    <row r="42" spans="1:38" x14ac:dyDescent="0.3">
      <c r="A42" t="s">
        <v>283</v>
      </c>
      <c r="B42" t="s">
        <v>45</v>
      </c>
      <c r="C42" t="s">
        <v>43</v>
      </c>
      <c r="D42" t="s">
        <v>284</v>
      </c>
      <c r="E42" t="s">
        <v>285</v>
      </c>
      <c r="F42" t="s">
        <v>47</v>
      </c>
      <c r="G42" t="s">
        <v>286</v>
      </c>
      <c r="H42" s="1" t="s">
        <v>44</v>
      </c>
      <c r="I42" t="s">
        <v>44</v>
      </c>
      <c r="J42" s="11" t="s">
        <v>82</v>
      </c>
      <c r="L42" t="s">
        <v>44</v>
      </c>
      <c r="M42" t="s">
        <v>44</v>
      </c>
      <c r="P42" t="s">
        <v>287</v>
      </c>
      <c r="Q42" t="s">
        <v>44</v>
      </c>
      <c r="R42" s="6" t="s">
        <v>288</v>
      </c>
      <c r="T42" s="16" t="s">
        <v>44</v>
      </c>
      <c r="U42" t="s">
        <v>44</v>
      </c>
      <c r="V42" t="s">
        <v>44</v>
      </c>
      <c r="W42" s="16" t="s">
        <v>289</v>
      </c>
      <c r="Y42" s="21">
        <v>43620</v>
      </c>
      <c r="Z42" s="22">
        <v>0.64793981481481489</v>
      </c>
      <c r="AA42" t="s">
        <v>53</v>
      </c>
      <c r="AB42" t="s">
        <v>204</v>
      </c>
      <c r="AC42" t="s">
        <v>66</v>
      </c>
      <c r="AD42" s="21">
        <v>43623</v>
      </c>
      <c r="AE42" t="s">
        <v>44</v>
      </c>
      <c r="AF42" t="s">
        <v>44</v>
      </c>
      <c r="AG42" t="s">
        <v>44</v>
      </c>
      <c r="AH42" s="21">
        <v>43620</v>
      </c>
      <c r="AK42" t="s">
        <v>263</v>
      </c>
      <c r="AL42" t="s">
        <v>551</v>
      </c>
    </row>
    <row r="43" spans="1:38" x14ac:dyDescent="0.3">
      <c r="A43" s="14" t="s">
        <v>292</v>
      </c>
      <c r="B43" t="s">
        <v>45</v>
      </c>
      <c r="C43" t="s">
        <v>43</v>
      </c>
      <c r="D43" s="14" t="s">
        <v>293</v>
      </c>
      <c r="E43" s="14" t="s">
        <v>294</v>
      </c>
      <c r="G43" t="s">
        <v>44</v>
      </c>
      <c r="H43" s="1" t="s">
        <v>44</v>
      </c>
      <c r="I43" t="s">
        <v>44</v>
      </c>
      <c r="J43" s="11" t="s">
        <v>82</v>
      </c>
      <c r="L43" t="s">
        <v>44</v>
      </c>
      <c r="M43" t="s">
        <v>44</v>
      </c>
      <c r="P43" t="s">
        <v>295</v>
      </c>
      <c r="Q43" t="s">
        <v>44</v>
      </c>
      <c r="R43" s="14" t="s">
        <v>368</v>
      </c>
      <c r="S43" t="s">
        <v>44</v>
      </c>
      <c r="T43" s="16" t="s">
        <v>44</v>
      </c>
      <c r="U43" t="s">
        <v>44</v>
      </c>
      <c r="V43" t="s">
        <v>44</v>
      </c>
      <c r="W43" s="16" t="s">
        <v>671</v>
      </c>
      <c r="Y43" s="21">
        <v>43621</v>
      </c>
      <c r="Z43" s="22">
        <v>0.3991898148148148</v>
      </c>
      <c r="AA43" s="21"/>
      <c r="AB43" t="s">
        <v>44</v>
      </c>
      <c r="AC43" t="s">
        <v>66</v>
      </c>
      <c r="AD43" s="21">
        <v>43643</v>
      </c>
      <c r="AE43" s="21" t="s">
        <v>44</v>
      </c>
      <c r="AF43" t="s">
        <v>44</v>
      </c>
      <c r="AG43" t="s">
        <v>44</v>
      </c>
      <c r="AH43" s="21">
        <v>43643</v>
      </c>
      <c r="AK43" t="s">
        <v>263</v>
      </c>
      <c r="AL43" t="s">
        <v>672</v>
      </c>
    </row>
    <row r="44" spans="1:38" x14ac:dyDescent="0.3">
      <c r="A44" s="20" t="s">
        <v>1220</v>
      </c>
      <c r="B44" t="s">
        <v>45</v>
      </c>
      <c r="C44" t="s">
        <v>43</v>
      </c>
      <c r="D44" s="14" t="s">
        <v>297</v>
      </c>
      <c r="E44" t="s">
        <v>298</v>
      </c>
      <c r="G44" t="s">
        <v>82</v>
      </c>
      <c r="H44" s="1" t="s">
        <v>44</v>
      </c>
      <c r="I44" t="s">
        <v>44</v>
      </c>
      <c r="J44" s="11" t="s">
        <v>82</v>
      </c>
      <c r="L44" t="s">
        <v>44</v>
      </c>
      <c r="M44" t="s">
        <v>44</v>
      </c>
      <c r="P44" t="s">
        <v>299</v>
      </c>
      <c r="Q44" t="s">
        <v>44</v>
      </c>
      <c r="R44" s="14" t="s">
        <v>530</v>
      </c>
      <c r="S44" t="s">
        <v>44</v>
      </c>
      <c r="T44" s="16" t="s">
        <v>44</v>
      </c>
      <c r="U44" t="s">
        <v>44</v>
      </c>
      <c r="V44" t="s">
        <v>44</v>
      </c>
      <c r="W44" s="16" t="s">
        <v>706</v>
      </c>
      <c r="Y44" s="21" t="s">
        <v>44</v>
      </c>
      <c r="Z44" s="22"/>
      <c r="AA44" s="21"/>
      <c r="AB44" t="s">
        <v>44</v>
      </c>
      <c r="AC44" s="22" t="s">
        <v>66</v>
      </c>
      <c r="AD44" s="21">
        <v>43644</v>
      </c>
      <c r="AE44" s="21" t="s">
        <v>44</v>
      </c>
      <c r="AF44" t="s">
        <v>44</v>
      </c>
      <c r="AG44" t="s">
        <v>44</v>
      </c>
      <c r="AH44" s="21">
        <v>43622</v>
      </c>
      <c r="AI44" t="s">
        <v>531</v>
      </c>
      <c r="AK44" t="s">
        <v>263</v>
      </c>
      <c r="AL44" t="s">
        <v>707</v>
      </c>
    </row>
    <row r="45" spans="1:38" x14ac:dyDescent="0.3">
      <c r="A45" t="s">
        <v>300</v>
      </c>
      <c r="B45" t="s">
        <v>45</v>
      </c>
      <c r="C45" t="s">
        <v>43</v>
      </c>
      <c r="D45" t="s">
        <v>301</v>
      </c>
      <c r="E45" t="s">
        <v>302</v>
      </c>
      <c r="F45" t="s">
        <v>199</v>
      </c>
      <c r="G45" t="s">
        <v>44</v>
      </c>
      <c r="H45" s="1" t="s">
        <v>44</v>
      </c>
      <c r="I45" t="s">
        <v>44</v>
      </c>
      <c r="J45" s="11" t="s">
        <v>82</v>
      </c>
      <c r="L45" t="s">
        <v>44</v>
      </c>
      <c r="M45" t="s">
        <v>44</v>
      </c>
      <c r="P45" t="s">
        <v>303</v>
      </c>
      <c r="Q45" t="s">
        <v>44</v>
      </c>
      <c r="R45" s="6" t="s">
        <v>44</v>
      </c>
      <c r="T45" s="16" t="s">
        <v>44</v>
      </c>
      <c r="U45" t="s">
        <v>44</v>
      </c>
      <c r="V45" t="s">
        <v>44</v>
      </c>
      <c r="W45" s="16" t="s">
        <v>607</v>
      </c>
      <c r="Y45" s="21">
        <v>43621</v>
      </c>
      <c r="Z45" s="22">
        <v>0.40335648148148145</v>
      </c>
      <c r="AB45" t="s">
        <v>44</v>
      </c>
      <c r="AC45" t="s">
        <v>66</v>
      </c>
      <c r="AD45" s="21">
        <v>43630</v>
      </c>
      <c r="AE45" t="s">
        <v>44</v>
      </c>
      <c r="AF45" t="s">
        <v>44</v>
      </c>
      <c r="AG45" t="s">
        <v>44</v>
      </c>
      <c r="AH45" s="21">
        <v>43621</v>
      </c>
      <c r="AK45" t="s">
        <v>263</v>
      </c>
      <c r="AL45" t="s">
        <v>608</v>
      </c>
    </row>
    <row r="46" spans="1:38" x14ac:dyDescent="0.3">
      <c r="A46" t="s">
        <v>304</v>
      </c>
      <c r="B46" t="s">
        <v>45</v>
      </c>
      <c r="C46" t="s">
        <v>43</v>
      </c>
      <c r="D46" t="s">
        <v>305</v>
      </c>
      <c r="E46" t="s">
        <v>306</v>
      </c>
      <c r="F46" t="s">
        <v>47</v>
      </c>
      <c r="G46" t="s">
        <v>44</v>
      </c>
      <c r="H46" s="1" t="s">
        <v>44</v>
      </c>
      <c r="I46" t="s">
        <v>44</v>
      </c>
      <c r="J46" s="11" t="s">
        <v>82</v>
      </c>
      <c r="L46" t="s">
        <v>44</v>
      </c>
      <c r="M46" t="s">
        <v>44</v>
      </c>
      <c r="P46" t="s">
        <v>307</v>
      </c>
      <c r="Q46" t="s">
        <v>44</v>
      </c>
      <c r="R46" s="6" t="s">
        <v>44</v>
      </c>
      <c r="T46" s="16" t="s">
        <v>44</v>
      </c>
      <c r="U46" t="s">
        <v>44</v>
      </c>
      <c r="V46" t="s">
        <v>44</v>
      </c>
      <c r="W46" s="16" t="s">
        <v>370</v>
      </c>
      <c r="Y46" s="21">
        <v>43621</v>
      </c>
      <c r="Z46" s="22">
        <v>0.4059490740740741</v>
      </c>
      <c r="AB46" t="s">
        <v>44</v>
      </c>
      <c r="AC46" t="s">
        <v>66</v>
      </c>
      <c r="AD46" s="21">
        <v>43621</v>
      </c>
      <c r="AE46" t="s">
        <v>44</v>
      </c>
      <c r="AF46" t="s">
        <v>44</v>
      </c>
      <c r="AG46" t="s">
        <v>44</v>
      </c>
      <c r="AH46" s="21">
        <v>43621</v>
      </c>
      <c r="AK46" t="s">
        <v>263</v>
      </c>
    </row>
    <row r="47" spans="1:38" x14ac:dyDescent="0.3">
      <c r="A47" t="s">
        <v>308</v>
      </c>
      <c r="B47" t="s">
        <v>45</v>
      </c>
      <c r="C47" t="s">
        <v>43</v>
      </c>
      <c r="D47" t="s">
        <v>309</v>
      </c>
      <c r="E47" t="s">
        <v>310</v>
      </c>
      <c r="G47" t="s">
        <v>44</v>
      </c>
      <c r="H47" s="1" t="s">
        <v>44</v>
      </c>
      <c r="I47" t="s">
        <v>44</v>
      </c>
      <c r="J47" s="11" t="s">
        <v>82</v>
      </c>
      <c r="L47" t="s">
        <v>44</v>
      </c>
      <c r="M47" t="s">
        <v>44</v>
      </c>
      <c r="P47" t="s">
        <v>311</v>
      </c>
      <c r="Q47" t="s">
        <v>44</v>
      </c>
      <c r="R47" s="6" t="s">
        <v>312</v>
      </c>
      <c r="T47" s="16" t="s">
        <v>44</v>
      </c>
      <c r="U47" t="s">
        <v>44</v>
      </c>
      <c r="V47" t="s">
        <v>44</v>
      </c>
      <c r="W47" s="16" t="s">
        <v>673</v>
      </c>
      <c r="Y47" s="21">
        <v>43621</v>
      </c>
      <c r="Z47" s="22">
        <v>0.40866898148148145</v>
      </c>
      <c r="AB47" t="s">
        <v>44</v>
      </c>
      <c r="AC47" t="s">
        <v>66</v>
      </c>
      <c r="AD47" s="21">
        <v>43643</v>
      </c>
      <c r="AE47" t="s">
        <v>44</v>
      </c>
      <c r="AF47" t="s">
        <v>44</v>
      </c>
      <c r="AG47" t="s">
        <v>44</v>
      </c>
      <c r="AH47" s="21">
        <v>43636</v>
      </c>
      <c r="AK47" t="s">
        <v>263</v>
      </c>
      <c r="AL47" t="s">
        <v>674</v>
      </c>
    </row>
    <row r="48" spans="1:38" x14ac:dyDescent="0.3">
      <c r="A48" t="s">
        <v>313</v>
      </c>
      <c r="B48" t="s">
        <v>45</v>
      </c>
      <c r="C48" t="s">
        <v>43</v>
      </c>
      <c r="D48" t="s">
        <v>314</v>
      </c>
      <c r="E48" t="s">
        <v>315</v>
      </c>
      <c r="F48" t="s">
        <v>47</v>
      </c>
      <c r="G48" t="s">
        <v>44</v>
      </c>
      <c r="H48" s="1" t="s">
        <v>44</v>
      </c>
      <c r="I48" t="s">
        <v>44</v>
      </c>
      <c r="J48" s="11" t="s">
        <v>82</v>
      </c>
      <c r="L48" t="s">
        <v>44</v>
      </c>
      <c r="M48" t="s">
        <v>44</v>
      </c>
      <c r="P48" t="s">
        <v>316</v>
      </c>
      <c r="Q48" t="s">
        <v>44</v>
      </c>
      <c r="R48" s="6" t="s">
        <v>44</v>
      </c>
      <c r="T48" s="16" t="s">
        <v>44</v>
      </c>
      <c r="U48" t="s">
        <v>44</v>
      </c>
      <c r="V48" t="s">
        <v>44</v>
      </c>
      <c r="W48" s="16" t="s">
        <v>609</v>
      </c>
      <c r="Y48" s="21">
        <v>43621</v>
      </c>
      <c r="Z48" s="22">
        <v>0.42288194444444444</v>
      </c>
      <c r="AB48" t="s">
        <v>44</v>
      </c>
      <c r="AC48" t="s">
        <v>66</v>
      </c>
      <c r="AD48" s="21">
        <v>43630</v>
      </c>
      <c r="AE48" t="s">
        <v>44</v>
      </c>
      <c r="AF48" t="s">
        <v>44</v>
      </c>
      <c r="AG48" t="s">
        <v>44</v>
      </c>
      <c r="AH48" s="21">
        <v>43621</v>
      </c>
      <c r="AK48" t="s">
        <v>263</v>
      </c>
      <c r="AL48" t="s">
        <v>610</v>
      </c>
    </row>
    <row r="49" spans="1:38" x14ac:dyDescent="0.3">
      <c r="A49" t="s">
        <v>317</v>
      </c>
      <c r="B49" t="s">
        <v>45</v>
      </c>
      <c r="C49" t="s">
        <v>43</v>
      </c>
      <c r="D49" t="s">
        <v>318</v>
      </c>
      <c r="E49" t="s">
        <v>319</v>
      </c>
      <c r="F49" t="s">
        <v>47</v>
      </c>
      <c r="G49" t="s">
        <v>44</v>
      </c>
      <c r="H49" s="1" t="s">
        <v>44</v>
      </c>
      <c r="I49" t="s">
        <v>44</v>
      </c>
      <c r="J49" s="11" t="s">
        <v>82</v>
      </c>
      <c r="L49" t="s">
        <v>44</v>
      </c>
      <c r="M49" t="s">
        <v>44</v>
      </c>
      <c r="P49" t="s">
        <v>320</v>
      </c>
      <c r="Q49" t="s">
        <v>44</v>
      </c>
      <c r="R49" s="6" t="s">
        <v>321</v>
      </c>
      <c r="T49" s="16" t="s">
        <v>44</v>
      </c>
      <c r="U49" t="s">
        <v>44</v>
      </c>
      <c r="V49" t="s">
        <v>44</v>
      </c>
      <c r="W49" s="16" t="s">
        <v>675</v>
      </c>
      <c r="Y49" s="21">
        <v>43621</v>
      </c>
      <c r="Z49" s="22">
        <v>0.42709490740740735</v>
      </c>
      <c r="AB49" t="s">
        <v>44</v>
      </c>
      <c r="AC49" t="s">
        <v>66</v>
      </c>
      <c r="AD49" s="21">
        <v>43643</v>
      </c>
      <c r="AE49" t="s">
        <v>44</v>
      </c>
      <c r="AF49" t="s">
        <v>44</v>
      </c>
      <c r="AG49" t="s">
        <v>44</v>
      </c>
      <c r="AH49" s="21">
        <v>43643</v>
      </c>
      <c r="AK49" t="s">
        <v>263</v>
      </c>
      <c r="AL49" t="s">
        <v>676</v>
      </c>
    </row>
    <row r="50" spans="1:38" x14ac:dyDescent="0.3">
      <c r="A50" t="s">
        <v>322</v>
      </c>
      <c r="B50" t="s">
        <v>45</v>
      </c>
      <c r="C50" t="s">
        <v>43</v>
      </c>
      <c r="D50" t="s">
        <v>323</v>
      </c>
      <c r="E50" t="s">
        <v>44</v>
      </c>
      <c r="G50" t="s">
        <v>44</v>
      </c>
      <c r="H50" s="1" t="s">
        <v>44</v>
      </c>
      <c r="I50" t="s">
        <v>44</v>
      </c>
      <c r="J50" s="11" t="s">
        <v>82</v>
      </c>
      <c r="L50" t="s">
        <v>44</v>
      </c>
      <c r="M50" t="s">
        <v>44</v>
      </c>
      <c r="P50" t="s">
        <v>324</v>
      </c>
      <c r="Q50" t="s">
        <v>44</v>
      </c>
      <c r="R50" s="6" t="s">
        <v>44</v>
      </c>
      <c r="T50" s="16" t="s">
        <v>44</v>
      </c>
      <c r="U50" t="s">
        <v>44</v>
      </c>
      <c r="V50" t="s">
        <v>44</v>
      </c>
      <c r="W50" s="16" t="s">
        <v>325</v>
      </c>
      <c r="Y50" s="21">
        <v>43621</v>
      </c>
      <c r="Z50" s="22">
        <v>0.43276620370370367</v>
      </c>
      <c r="AB50" t="s">
        <v>44</v>
      </c>
      <c r="AC50" t="s">
        <v>66</v>
      </c>
      <c r="AD50" s="21">
        <v>43643</v>
      </c>
      <c r="AE50" t="s">
        <v>44</v>
      </c>
      <c r="AF50" t="s">
        <v>44</v>
      </c>
      <c r="AG50" t="s">
        <v>44</v>
      </c>
      <c r="AH50" s="21">
        <v>43636</v>
      </c>
      <c r="AK50" t="s">
        <v>263</v>
      </c>
      <c r="AL50" t="s">
        <v>679</v>
      </c>
    </row>
    <row r="51" spans="1:38" x14ac:dyDescent="0.3">
      <c r="A51" s="20" t="s">
        <v>1221</v>
      </c>
      <c r="B51" t="s">
        <v>45</v>
      </c>
      <c r="C51" t="s">
        <v>43</v>
      </c>
      <c r="D51" t="s">
        <v>326</v>
      </c>
      <c r="E51" t="s">
        <v>327</v>
      </c>
      <c r="F51" t="s">
        <v>44</v>
      </c>
      <c r="G51" t="s">
        <v>44</v>
      </c>
      <c r="H51" s="1" t="s">
        <v>44</v>
      </c>
      <c r="I51" t="s">
        <v>44</v>
      </c>
      <c r="J51" s="11" t="s">
        <v>82</v>
      </c>
      <c r="K51" t="s">
        <v>44</v>
      </c>
      <c r="L51" t="s">
        <v>44</v>
      </c>
      <c r="M51" t="s">
        <v>44</v>
      </c>
      <c r="N51" t="s">
        <v>44</v>
      </c>
      <c r="P51" t="s">
        <v>328</v>
      </c>
      <c r="Q51" t="s">
        <v>44</v>
      </c>
      <c r="R51" s="6" t="s">
        <v>44</v>
      </c>
      <c r="T51" s="16" t="s">
        <v>44</v>
      </c>
      <c r="U51" t="s">
        <v>44</v>
      </c>
      <c r="V51" t="s">
        <v>44</v>
      </c>
      <c r="W51" s="16" t="s">
        <v>329</v>
      </c>
      <c r="Y51" s="21">
        <v>43621</v>
      </c>
      <c r="Z51" s="22">
        <v>0.44410879629629635</v>
      </c>
      <c r="AA51" t="s">
        <v>44</v>
      </c>
      <c r="AB51" t="s">
        <v>44</v>
      </c>
      <c r="AC51" t="s">
        <v>66</v>
      </c>
      <c r="AD51" t="s">
        <v>296</v>
      </c>
      <c r="AE51" t="s">
        <v>44</v>
      </c>
      <c r="AF51" t="s">
        <v>44</v>
      </c>
      <c r="AG51" t="s">
        <v>44</v>
      </c>
      <c r="AH51" s="21">
        <v>43636</v>
      </c>
      <c r="AK51" t="s">
        <v>263</v>
      </c>
    </row>
    <row r="52" spans="1:38" x14ac:dyDescent="0.3">
      <c r="A52" t="s">
        <v>330</v>
      </c>
      <c r="B52" t="s">
        <v>45</v>
      </c>
      <c r="C52" t="s">
        <v>43</v>
      </c>
      <c r="D52" t="s">
        <v>331</v>
      </c>
      <c r="E52" t="s">
        <v>332</v>
      </c>
      <c r="G52" t="s">
        <v>44</v>
      </c>
      <c r="H52" s="1" t="s">
        <v>44</v>
      </c>
      <c r="I52" t="s">
        <v>44</v>
      </c>
      <c r="J52" s="11" t="s">
        <v>82</v>
      </c>
      <c r="L52" t="s">
        <v>44</v>
      </c>
      <c r="M52" t="s">
        <v>44</v>
      </c>
      <c r="P52" t="s">
        <v>333</v>
      </c>
      <c r="Q52" t="s">
        <v>44</v>
      </c>
      <c r="R52" s="6" t="s">
        <v>44</v>
      </c>
      <c r="T52" s="16" t="s">
        <v>44</v>
      </c>
      <c r="U52" t="s">
        <v>44</v>
      </c>
      <c r="V52" t="s">
        <v>44</v>
      </c>
      <c r="W52" s="16" t="s">
        <v>708</v>
      </c>
      <c r="Y52" s="21">
        <v>43621</v>
      </c>
      <c r="Z52" s="22">
        <v>0.44679398148148147</v>
      </c>
      <c r="AB52" t="s">
        <v>44</v>
      </c>
      <c r="AC52" t="s">
        <v>66</v>
      </c>
      <c r="AD52" s="21">
        <v>43644</v>
      </c>
      <c r="AE52" t="s">
        <v>44</v>
      </c>
      <c r="AF52" t="s">
        <v>44</v>
      </c>
      <c r="AG52" t="s">
        <v>44</v>
      </c>
      <c r="AH52" s="21">
        <v>43633</v>
      </c>
      <c r="AK52" t="s">
        <v>263</v>
      </c>
      <c r="AL52" t="s">
        <v>709</v>
      </c>
    </row>
    <row r="53" spans="1:38" x14ac:dyDescent="0.3">
      <c r="A53" t="s">
        <v>334</v>
      </c>
      <c r="B53" t="s">
        <v>45</v>
      </c>
      <c r="C53" t="s">
        <v>43</v>
      </c>
      <c r="D53" t="s">
        <v>335</v>
      </c>
      <c r="E53" t="s">
        <v>336</v>
      </c>
      <c r="G53" t="s">
        <v>44</v>
      </c>
      <c r="H53" s="1" t="s">
        <v>44</v>
      </c>
      <c r="I53" t="s">
        <v>44</v>
      </c>
      <c r="J53" s="11" t="s">
        <v>82</v>
      </c>
      <c r="L53" t="s">
        <v>44</v>
      </c>
      <c r="M53" t="s">
        <v>44</v>
      </c>
      <c r="P53" t="s">
        <v>337</v>
      </c>
      <c r="Q53" t="s">
        <v>44</v>
      </c>
      <c r="R53" s="6" t="s">
        <v>44</v>
      </c>
      <c r="T53" s="16" t="s">
        <v>44</v>
      </c>
      <c r="U53" t="s">
        <v>44</v>
      </c>
      <c r="V53" t="s">
        <v>44</v>
      </c>
      <c r="W53" s="16" t="s">
        <v>611</v>
      </c>
      <c r="Y53" s="21">
        <v>43621</v>
      </c>
      <c r="Z53" s="22">
        <v>0.44938657407407406</v>
      </c>
      <c r="AB53" t="s">
        <v>44</v>
      </c>
      <c r="AC53" t="s">
        <v>66</v>
      </c>
      <c r="AD53" s="21">
        <v>43630</v>
      </c>
      <c r="AE53" t="s">
        <v>44</v>
      </c>
      <c r="AF53" t="s">
        <v>44</v>
      </c>
      <c r="AG53" t="s">
        <v>44</v>
      </c>
      <c r="AH53" s="21">
        <v>43621</v>
      </c>
      <c r="AK53" t="s">
        <v>263</v>
      </c>
      <c r="AL53" t="s">
        <v>612</v>
      </c>
    </row>
    <row r="54" spans="1:38" x14ac:dyDescent="0.3">
      <c r="A54" t="s">
        <v>338</v>
      </c>
      <c r="B54" t="s">
        <v>45</v>
      </c>
      <c r="C54" t="s">
        <v>43</v>
      </c>
      <c r="D54" t="s">
        <v>339</v>
      </c>
      <c r="E54" t="s">
        <v>340</v>
      </c>
      <c r="F54" t="s">
        <v>199</v>
      </c>
      <c r="G54" t="s">
        <v>44</v>
      </c>
      <c r="H54" s="1" t="s">
        <v>44</v>
      </c>
      <c r="I54" t="s">
        <v>44</v>
      </c>
      <c r="J54" s="11" t="s">
        <v>82</v>
      </c>
      <c r="K54" t="s">
        <v>44</v>
      </c>
      <c r="L54" t="s">
        <v>44</v>
      </c>
      <c r="M54" t="s">
        <v>44</v>
      </c>
      <c r="N54" t="s">
        <v>44</v>
      </c>
      <c r="P54" t="s">
        <v>341</v>
      </c>
      <c r="Q54" t="s">
        <v>44</v>
      </c>
      <c r="R54" s="6" t="s">
        <v>44</v>
      </c>
      <c r="T54" s="16" t="s">
        <v>44</v>
      </c>
      <c r="U54" t="s">
        <v>44</v>
      </c>
      <c r="V54" t="s">
        <v>44</v>
      </c>
      <c r="W54" s="16" t="s">
        <v>342</v>
      </c>
      <c r="Y54" s="21">
        <v>43621</v>
      </c>
      <c r="Z54" s="22">
        <v>0.45648148148148149</v>
      </c>
      <c r="AA54" t="s">
        <v>44</v>
      </c>
      <c r="AB54" t="s">
        <v>44</v>
      </c>
      <c r="AC54" t="s">
        <v>66</v>
      </c>
      <c r="AD54" t="s">
        <v>296</v>
      </c>
      <c r="AE54" t="s">
        <v>44</v>
      </c>
      <c r="AF54" t="s">
        <v>44</v>
      </c>
      <c r="AG54" t="s">
        <v>44</v>
      </c>
      <c r="AH54" s="21">
        <v>43636</v>
      </c>
      <c r="AK54" t="s">
        <v>263</v>
      </c>
    </row>
    <row r="55" spans="1:38" x14ac:dyDescent="0.3">
      <c r="A55" t="s">
        <v>343</v>
      </c>
      <c r="B55" t="s">
        <v>45</v>
      </c>
      <c r="C55" t="s">
        <v>43</v>
      </c>
      <c r="D55" t="s">
        <v>344</v>
      </c>
      <c r="E55" t="s">
        <v>345</v>
      </c>
      <c r="F55" t="s">
        <v>51</v>
      </c>
      <c r="G55" t="s">
        <v>44</v>
      </c>
      <c r="H55" s="1" t="s">
        <v>44</v>
      </c>
      <c r="I55" t="s">
        <v>44</v>
      </c>
      <c r="J55" s="11" t="s">
        <v>82</v>
      </c>
      <c r="K55" t="s">
        <v>44</v>
      </c>
      <c r="L55" t="s">
        <v>44</v>
      </c>
      <c r="M55" t="s">
        <v>44</v>
      </c>
      <c r="N55" t="s">
        <v>44</v>
      </c>
      <c r="P55" t="s">
        <v>346</v>
      </c>
      <c r="Q55" t="s">
        <v>44</v>
      </c>
      <c r="R55" s="6" t="s">
        <v>44</v>
      </c>
      <c r="T55" s="16" t="s">
        <v>44</v>
      </c>
      <c r="U55" t="s">
        <v>44</v>
      </c>
      <c r="V55" t="s">
        <v>44</v>
      </c>
      <c r="W55" s="16" t="s">
        <v>347</v>
      </c>
      <c r="Y55" s="21">
        <v>43621</v>
      </c>
      <c r="Z55" s="22">
        <v>0.4586574074074074</v>
      </c>
      <c r="AA55" t="s">
        <v>44</v>
      </c>
      <c r="AB55" t="s">
        <v>44</v>
      </c>
      <c r="AC55" t="s">
        <v>66</v>
      </c>
      <c r="AD55" t="s">
        <v>296</v>
      </c>
      <c r="AE55" t="s">
        <v>44</v>
      </c>
      <c r="AF55" t="s">
        <v>44</v>
      </c>
      <c r="AG55" t="s">
        <v>44</v>
      </c>
      <c r="AH55" s="21">
        <v>43636</v>
      </c>
      <c r="AK55" t="s">
        <v>263</v>
      </c>
    </row>
    <row r="56" spans="1:38" x14ac:dyDescent="0.3">
      <c r="A56" t="s">
        <v>348</v>
      </c>
      <c r="B56" t="s">
        <v>45</v>
      </c>
      <c r="C56" t="s">
        <v>43</v>
      </c>
      <c r="D56" t="s">
        <v>349</v>
      </c>
      <c r="E56" t="s">
        <v>371</v>
      </c>
      <c r="G56" t="s">
        <v>44</v>
      </c>
      <c r="H56" s="1" t="s">
        <v>44</v>
      </c>
      <c r="I56" t="s">
        <v>44</v>
      </c>
      <c r="J56" s="11" t="s">
        <v>82</v>
      </c>
      <c r="L56" t="s">
        <v>44</v>
      </c>
      <c r="M56" t="s">
        <v>44</v>
      </c>
      <c r="P56" t="s">
        <v>350</v>
      </c>
      <c r="Q56" t="s">
        <v>543</v>
      </c>
      <c r="R56" s="6" t="s">
        <v>630</v>
      </c>
      <c r="T56" s="16" t="s">
        <v>44</v>
      </c>
      <c r="U56" t="s">
        <v>44</v>
      </c>
      <c r="V56" t="s">
        <v>44</v>
      </c>
      <c r="W56" s="16" t="s">
        <v>631</v>
      </c>
      <c r="Y56" s="21">
        <v>43621</v>
      </c>
      <c r="Z56" s="22">
        <v>0.46233796296296298</v>
      </c>
      <c r="AB56" t="s">
        <v>44</v>
      </c>
      <c r="AC56" t="s">
        <v>66</v>
      </c>
      <c r="AD56" s="21">
        <v>43633</v>
      </c>
      <c r="AE56" t="s">
        <v>44</v>
      </c>
      <c r="AF56" t="s">
        <v>44</v>
      </c>
      <c r="AG56" t="s">
        <v>44</v>
      </c>
      <c r="AH56" s="21">
        <v>43633</v>
      </c>
      <c r="AK56" t="s">
        <v>263</v>
      </c>
      <c r="AL56" t="s">
        <v>632</v>
      </c>
    </row>
    <row r="57" spans="1:38" x14ac:dyDescent="0.3">
      <c r="A57" t="s">
        <v>351</v>
      </c>
      <c r="B57" t="s">
        <v>45</v>
      </c>
      <c r="C57" t="s">
        <v>43</v>
      </c>
      <c r="D57" t="s">
        <v>352</v>
      </c>
      <c r="E57" t="s">
        <v>353</v>
      </c>
      <c r="G57" t="s">
        <v>44</v>
      </c>
      <c r="H57" s="1" t="s">
        <v>44</v>
      </c>
      <c r="I57" t="s">
        <v>44</v>
      </c>
      <c r="J57" s="11" t="s">
        <v>82</v>
      </c>
      <c r="L57" t="s">
        <v>44</v>
      </c>
      <c r="M57" t="s">
        <v>44</v>
      </c>
      <c r="P57" t="s">
        <v>354</v>
      </c>
      <c r="Q57" t="s">
        <v>44</v>
      </c>
      <c r="R57" s="6" t="s">
        <v>44</v>
      </c>
      <c r="T57" s="16" t="s">
        <v>44</v>
      </c>
      <c r="U57" t="s">
        <v>44</v>
      </c>
      <c r="V57" t="s">
        <v>44</v>
      </c>
      <c r="W57" s="16" t="s">
        <v>677</v>
      </c>
      <c r="Y57" s="21">
        <v>43621</v>
      </c>
      <c r="Z57" s="22">
        <v>0.47076388888888893</v>
      </c>
      <c r="AB57" t="s">
        <v>44</v>
      </c>
      <c r="AC57" t="s">
        <v>66</v>
      </c>
      <c r="AD57" s="21">
        <v>43643</v>
      </c>
      <c r="AE57" t="s">
        <v>44</v>
      </c>
      <c r="AF57" t="s">
        <v>44</v>
      </c>
      <c r="AG57" t="s">
        <v>44</v>
      </c>
      <c r="AH57" s="21">
        <v>43634</v>
      </c>
      <c r="AK57" t="s">
        <v>263</v>
      </c>
      <c r="AL57" t="s">
        <v>678</v>
      </c>
    </row>
    <row r="58" spans="1:38" x14ac:dyDescent="0.3">
      <c r="A58" t="s">
        <v>355</v>
      </c>
      <c r="B58" t="s">
        <v>45</v>
      </c>
      <c r="C58" t="s">
        <v>43</v>
      </c>
      <c r="D58" t="s">
        <v>356</v>
      </c>
      <c r="E58" t="s">
        <v>357</v>
      </c>
      <c r="F58" t="s">
        <v>51</v>
      </c>
      <c r="G58" t="s">
        <v>44</v>
      </c>
      <c r="H58" s="1" t="s">
        <v>44</v>
      </c>
      <c r="I58" t="s">
        <v>44</v>
      </c>
      <c r="J58" s="11" t="s">
        <v>82</v>
      </c>
      <c r="K58" t="s">
        <v>44</v>
      </c>
      <c r="L58" t="s">
        <v>44</v>
      </c>
      <c r="M58" t="s">
        <v>44</v>
      </c>
      <c r="N58" t="s">
        <v>44</v>
      </c>
      <c r="P58" t="s">
        <v>358</v>
      </c>
      <c r="Q58" t="s">
        <v>44</v>
      </c>
      <c r="R58" s="6" t="s">
        <v>44</v>
      </c>
      <c r="T58" s="16" t="s">
        <v>44</v>
      </c>
      <c r="U58" t="s">
        <v>44</v>
      </c>
      <c r="V58" t="s">
        <v>44</v>
      </c>
      <c r="W58" s="16" t="s">
        <v>359</v>
      </c>
      <c r="Y58" s="21">
        <v>43621</v>
      </c>
      <c r="Z58" s="22">
        <v>0.4887037037037037</v>
      </c>
      <c r="AA58" t="s">
        <v>44</v>
      </c>
      <c r="AB58" t="s">
        <v>44</v>
      </c>
      <c r="AC58" t="s">
        <v>66</v>
      </c>
      <c r="AD58" t="s">
        <v>296</v>
      </c>
      <c r="AE58" t="s">
        <v>44</v>
      </c>
      <c r="AF58" t="s">
        <v>44</v>
      </c>
      <c r="AG58" t="s">
        <v>44</v>
      </c>
      <c r="AH58" s="21">
        <v>43636</v>
      </c>
      <c r="AK58" t="s">
        <v>263</v>
      </c>
    </row>
    <row r="59" spans="1:38" x14ac:dyDescent="0.3">
      <c r="A59" t="s">
        <v>360</v>
      </c>
      <c r="B59" t="s">
        <v>45</v>
      </c>
      <c r="C59" t="s">
        <v>43</v>
      </c>
      <c r="D59" t="s">
        <v>361</v>
      </c>
      <c r="E59" t="s">
        <v>362</v>
      </c>
      <c r="F59" t="s">
        <v>51</v>
      </c>
      <c r="G59" t="s">
        <v>44</v>
      </c>
      <c r="H59" s="1" t="s">
        <v>44</v>
      </c>
      <c r="I59" t="s">
        <v>44</v>
      </c>
      <c r="J59" s="11" t="s">
        <v>82</v>
      </c>
      <c r="L59" t="s">
        <v>44</v>
      </c>
      <c r="M59" t="s">
        <v>44</v>
      </c>
      <c r="P59" t="s">
        <v>363</v>
      </c>
      <c r="Q59" t="s">
        <v>44</v>
      </c>
      <c r="R59" s="6" t="s">
        <v>627</v>
      </c>
      <c r="T59" s="16" t="s">
        <v>44</v>
      </c>
      <c r="U59" t="s">
        <v>44</v>
      </c>
      <c r="V59" t="s">
        <v>44</v>
      </c>
      <c r="W59" s="16" t="s">
        <v>628</v>
      </c>
      <c r="Y59" s="21">
        <v>43621</v>
      </c>
      <c r="Z59" s="22">
        <v>0.49268518518518517</v>
      </c>
      <c r="AB59" t="s">
        <v>44</v>
      </c>
      <c r="AC59" t="s">
        <v>66</v>
      </c>
      <c r="AD59" s="21">
        <v>43633</v>
      </c>
      <c r="AE59" t="s">
        <v>44</v>
      </c>
      <c r="AF59" t="s">
        <v>44</v>
      </c>
      <c r="AG59" t="s">
        <v>44</v>
      </c>
      <c r="AH59" s="21">
        <v>43630</v>
      </c>
      <c r="AK59" t="s">
        <v>263</v>
      </c>
      <c r="AL59" t="s">
        <v>629</v>
      </c>
    </row>
    <row r="60" spans="1:38" x14ac:dyDescent="0.3">
      <c r="A60" t="s">
        <v>364</v>
      </c>
      <c r="B60" t="s">
        <v>45</v>
      </c>
      <c r="C60" t="s">
        <v>43</v>
      </c>
      <c r="D60" t="s">
        <v>365</v>
      </c>
      <c r="E60" t="s">
        <v>366</v>
      </c>
      <c r="G60" t="s">
        <v>44</v>
      </c>
      <c r="H60" s="1" t="s">
        <v>44</v>
      </c>
      <c r="I60" t="s">
        <v>44</v>
      </c>
      <c r="J60" s="11" t="s">
        <v>82</v>
      </c>
      <c r="L60" t="s">
        <v>44</v>
      </c>
      <c r="M60" t="s">
        <v>44</v>
      </c>
      <c r="P60" t="s">
        <v>367</v>
      </c>
      <c r="Q60" t="s">
        <v>44</v>
      </c>
      <c r="R60" s="6" t="s">
        <v>44</v>
      </c>
      <c r="T60" s="16" t="s">
        <v>44</v>
      </c>
      <c r="U60" t="s">
        <v>44</v>
      </c>
      <c r="V60" t="s">
        <v>44</v>
      </c>
      <c r="W60" s="16" t="s">
        <v>680</v>
      </c>
      <c r="Y60" s="21">
        <v>43621</v>
      </c>
      <c r="Z60" s="22">
        <v>0.49435185185185188</v>
      </c>
      <c r="AB60" t="s">
        <v>44</v>
      </c>
      <c r="AC60" t="s">
        <v>66</v>
      </c>
      <c r="AD60" s="21">
        <v>43643</v>
      </c>
      <c r="AE60" t="s">
        <v>44</v>
      </c>
      <c r="AF60" t="s">
        <v>44</v>
      </c>
      <c r="AG60" t="s">
        <v>44</v>
      </c>
      <c r="AH60" s="21">
        <v>43634</v>
      </c>
      <c r="AK60" t="s">
        <v>263</v>
      </c>
      <c r="AL60" t="s">
        <v>681</v>
      </c>
    </row>
    <row r="61" spans="1:38" x14ac:dyDescent="0.3">
      <c r="A61" t="s">
        <v>372</v>
      </c>
      <c r="B61" t="s">
        <v>45</v>
      </c>
      <c r="C61" t="s">
        <v>43</v>
      </c>
      <c r="D61" t="s">
        <v>373</v>
      </c>
      <c r="E61" t="s">
        <v>374</v>
      </c>
      <c r="F61" t="s">
        <v>51</v>
      </c>
      <c r="G61" t="s">
        <v>280</v>
      </c>
      <c r="H61" s="1" t="s">
        <v>613</v>
      </c>
      <c r="I61" t="s">
        <v>614</v>
      </c>
      <c r="J61" s="11" t="s">
        <v>127</v>
      </c>
      <c r="L61" t="s">
        <v>44</v>
      </c>
      <c r="M61" t="s">
        <v>44</v>
      </c>
      <c r="P61" t="s">
        <v>375</v>
      </c>
      <c r="Q61" t="s">
        <v>44</v>
      </c>
      <c r="R61" s="6" t="s">
        <v>615</v>
      </c>
      <c r="T61" s="16" t="s">
        <v>44</v>
      </c>
      <c r="U61" t="s">
        <v>44</v>
      </c>
      <c r="V61" t="s">
        <v>44</v>
      </c>
      <c r="W61" s="16" t="s">
        <v>778</v>
      </c>
      <c r="Y61" s="21">
        <v>43621</v>
      </c>
      <c r="Z61" s="22">
        <v>0.60362268518518525</v>
      </c>
      <c r="AB61" t="s">
        <v>44</v>
      </c>
      <c r="AC61" t="s">
        <v>66</v>
      </c>
      <c r="AD61" s="21">
        <v>43657</v>
      </c>
      <c r="AE61" t="s">
        <v>44</v>
      </c>
      <c r="AF61" t="s">
        <v>44</v>
      </c>
      <c r="AG61" t="s">
        <v>44</v>
      </c>
      <c r="AH61" s="21">
        <v>43647</v>
      </c>
      <c r="AK61" t="s">
        <v>263</v>
      </c>
      <c r="AL61" t="s">
        <v>779</v>
      </c>
    </row>
    <row r="62" spans="1:38" x14ac:dyDescent="0.3">
      <c r="A62" t="s">
        <v>376</v>
      </c>
      <c r="B62" t="s">
        <v>45</v>
      </c>
      <c r="C62" t="s">
        <v>43</v>
      </c>
      <c r="D62" t="s">
        <v>377</v>
      </c>
      <c r="E62" t="s">
        <v>616</v>
      </c>
      <c r="F62" t="s">
        <v>199</v>
      </c>
      <c r="G62" t="s">
        <v>44</v>
      </c>
      <c r="H62" s="1" t="s">
        <v>44</v>
      </c>
      <c r="I62" t="s">
        <v>44</v>
      </c>
      <c r="J62" s="11" t="s">
        <v>82</v>
      </c>
      <c r="L62" t="s">
        <v>44</v>
      </c>
      <c r="M62" t="s">
        <v>44</v>
      </c>
      <c r="P62" t="s">
        <v>44</v>
      </c>
      <c r="Q62" t="s">
        <v>44</v>
      </c>
      <c r="R62" s="6" t="s">
        <v>44</v>
      </c>
      <c r="T62" s="16" t="s">
        <v>44</v>
      </c>
      <c r="U62" t="s">
        <v>44</v>
      </c>
      <c r="V62" t="s">
        <v>44</v>
      </c>
      <c r="W62" s="16" t="s">
        <v>617</v>
      </c>
      <c r="Y62" s="21">
        <v>43621</v>
      </c>
      <c r="Z62" s="22">
        <v>0.60590277777777779</v>
      </c>
      <c r="AB62" t="s">
        <v>44</v>
      </c>
      <c r="AC62" t="s">
        <v>66</v>
      </c>
      <c r="AD62" s="21">
        <v>43630</v>
      </c>
      <c r="AE62" t="s">
        <v>44</v>
      </c>
      <c r="AF62" t="s">
        <v>44</v>
      </c>
      <c r="AG62" t="s">
        <v>44</v>
      </c>
      <c r="AH62" s="21">
        <v>43621</v>
      </c>
      <c r="AK62" t="s">
        <v>263</v>
      </c>
      <c r="AL62" t="s">
        <v>618</v>
      </c>
    </row>
    <row r="63" spans="1:38" x14ac:dyDescent="0.3">
      <c r="A63" t="s">
        <v>378</v>
      </c>
      <c r="B63" t="s">
        <v>45</v>
      </c>
      <c r="C63" t="s">
        <v>43</v>
      </c>
      <c r="D63" t="s">
        <v>379</v>
      </c>
      <c r="E63" t="s">
        <v>380</v>
      </c>
      <c r="F63" t="s">
        <v>51</v>
      </c>
      <c r="G63" t="s">
        <v>200</v>
      </c>
      <c r="H63" s="1" t="s">
        <v>44</v>
      </c>
      <c r="I63" t="s">
        <v>44</v>
      </c>
      <c r="J63" s="11" t="s">
        <v>381</v>
      </c>
      <c r="L63" t="s">
        <v>44</v>
      </c>
      <c r="M63" t="s">
        <v>44</v>
      </c>
      <c r="P63" t="s">
        <v>382</v>
      </c>
      <c r="Q63" t="s">
        <v>44</v>
      </c>
      <c r="R63" s="6" t="s">
        <v>383</v>
      </c>
      <c r="T63" s="16" t="s">
        <v>44</v>
      </c>
      <c r="U63" t="s">
        <v>44</v>
      </c>
      <c r="V63" t="s">
        <v>44</v>
      </c>
      <c r="W63" s="16" t="s">
        <v>780</v>
      </c>
      <c r="Y63" s="21">
        <v>43621</v>
      </c>
      <c r="Z63" s="22">
        <v>0.61686342592592591</v>
      </c>
      <c r="AA63" t="s">
        <v>6</v>
      </c>
      <c r="AB63" t="s">
        <v>95</v>
      </c>
      <c r="AC63" t="s">
        <v>66</v>
      </c>
      <c r="AD63" s="21">
        <v>43657</v>
      </c>
      <c r="AE63" t="s">
        <v>44</v>
      </c>
      <c r="AF63" t="s">
        <v>44</v>
      </c>
      <c r="AG63" t="s">
        <v>44</v>
      </c>
      <c r="AH63" s="21">
        <v>43647</v>
      </c>
      <c r="AK63" t="s">
        <v>263</v>
      </c>
      <c r="AL63" t="s">
        <v>781</v>
      </c>
    </row>
    <row r="64" spans="1:38" x14ac:dyDescent="0.3">
      <c r="A64" t="s">
        <v>384</v>
      </c>
      <c r="B64" t="s">
        <v>45</v>
      </c>
      <c r="C64" t="s">
        <v>43</v>
      </c>
      <c r="D64" t="s">
        <v>385</v>
      </c>
      <c r="E64" t="s">
        <v>218</v>
      </c>
      <c r="F64" t="s">
        <v>51</v>
      </c>
      <c r="G64" t="s">
        <v>200</v>
      </c>
      <c r="H64" s="1" t="s">
        <v>386</v>
      </c>
      <c r="I64" t="s">
        <v>44</v>
      </c>
      <c r="J64" s="11" t="s">
        <v>406</v>
      </c>
      <c r="L64" t="s">
        <v>44</v>
      </c>
      <c r="M64" t="s">
        <v>44</v>
      </c>
      <c r="P64" t="s">
        <v>387</v>
      </c>
      <c r="Q64" t="s">
        <v>44</v>
      </c>
      <c r="R64" s="6" t="s">
        <v>388</v>
      </c>
      <c r="T64" s="16" t="s">
        <v>44</v>
      </c>
      <c r="U64" t="s">
        <v>44</v>
      </c>
      <c r="V64" t="s">
        <v>44</v>
      </c>
      <c r="W64" s="16" t="s">
        <v>682</v>
      </c>
      <c r="Y64" s="21">
        <v>43621</v>
      </c>
      <c r="Z64" s="22">
        <v>0.64943287037037034</v>
      </c>
      <c r="AA64" t="s">
        <v>6</v>
      </c>
      <c r="AB64" t="s">
        <v>95</v>
      </c>
      <c r="AC64" t="s">
        <v>54</v>
      </c>
      <c r="AD64" s="21">
        <v>43643</v>
      </c>
      <c r="AE64" t="s">
        <v>44</v>
      </c>
      <c r="AF64" t="s">
        <v>44</v>
      </c>
      <c r="AG64" t="s">
        <v>44</v>
      </c>
      <c r="AH64" s="21">
        <v>43636</v>
      </c>
      <c r="AK64" t="s">
        <v>263</v>
      </c>
      <c r="AL64" t="s">
        <v>683</v>
      </c>
    </row>
    <row r="65" spans="1:39" x14ac:dyDescent="0.3">
      <c r="A65" t="s">
        <v>389</v>
      </c>
      <c r="B65" t="s">
        <v>45</v>
      </c>
      <c r="C65" t="s">
        <v>43</v>
      </c>
      <c r="D65" t="s">
        <v>390</v>
      </c>
      <c r="E65" t="s">
        <v>391</v>
      </c>
      <c r="F65" t="s">
        <v>51</v>
      </c>
      <c r="G65" t="s">
        <v>44</v>
      </c>
      <c r="H65" s="1" t="s">
        <v>44</v>
      </c>
      <c r="I65" t="s">
        <v>44</v>
      </c>
      <c r="J65" s="11" t="s">
        <v>82</v>
      </c>
      <c r="K65" t="s">
        <v>44</v>
      </c>
      <c r="L65" t="s">
        <v>44</v>
      </c>
      <c r="M65" t="s">
        <v>44</v>
      </c>
      <c r="N65" t="s">
        <v>44</v>
      </c>
      <c r="P65" t="s">
        <v>392</v>
      </c>
      <c r="Q65" t="s">
        <v>44</v>
      </c>
      <c r="R65" s="6" t="s">
        <v>393</v>
      </c>
      <c r="T65" s="16" t="s">
        <v>44</v>
      </c>
      <c r="U65" t="s">
        <v>44</v>
      </c>
      <c r="V65" t="s">
        <v>44</v>
      </c>
      <c r="W65" s="16" t="s">
        <v>394</v>
      </c>
      <c r="Y65" s="21">
        <v>43621</v>
      </c>
      <c r="Z65" s="22">
        <v>0.65759259259259262</v>
      </c>
      <c r="AA65" t="s">
        <v>44</v>
      </c>
      <c r="AB65" t="s">
        <v>44</v>
      </c>
      <c r="AC65" t="s">
        <v>66</v>
      </c>
      <c r="AD65" t="s">
        <v>296</v>
      </c>
      <c r="AE65" t="s">
        <v>44</v>
      </c>
      <c r="AF65" t="s">
        <v>44</v>
      </c>
      <c r="AG65" t="s">
        <v>44</v>
      </c>
      <c r="AH65" s="21">
        <v>43636</v>
      </c>
      <c r="AK65" t="s">
        <v>263</v>
      </c>
    </row>
    <row r="66" spans="1:39" x14ac:dyDescent="0.3">
      <c r="A66" t="s">
        <v>395</v>
      </c>
      <c r="B66" t="s">
        <v>45</v>
      </c>
      <c r="C66" t="s">
        <v>43</v>
      </c>
      <c r="D66" t="s">
        <v>396</v>
      </c>
      <c r="E66" t="s">
        <v>397</v>
      </c>
      <c r="F66" t="s">
        <v>51</v>
      </c>
      <c r="G66" t="s">
        <v>128</v>
      </c>
      <c r="H66" s="1" t="s">
        <v>44</v>
      </c>
      <c r="I66" t="s">
        <v>44</v>
      </c>
      <c r="J66" s="11" t="s">
        <v>406</v>
      </c>
      <c r="L66" t="s">
        <v>44</v>
      </c>
      <c r="M66" t="s">
        <v>44</v>
      </c>
      <c r="P66" t="s">
        <v>398</v>
      </c>
      <c r="Q66" t="s">
        <v>44</v>
      </c>
      <c r="R66" s="6" t="s">
        <v>399</v>
      </c>
      <c r="T66" s="16" t="s">
        <v>44</v>
      </c>
      <c r="U66" t="s">
        <v>44</v>
      </c>
      <c r="V66" t="s">
        <v>44</v>
      </c>
      <c r="W66" s="16" t="s">
        <v>782</v>
      </c>
      <c r="Y66" s="21">
        <v>43621</v>
      </c>
      <c r="Z66" s="22">
        <v>0.66962962962962969</v>
      </c>
      <c r="AA66" t="s">
        <v>6</v>
      </c>
      <c r="AB66" t="s">
        <v>171</v>
      </c>
      <c r="AC66" t="s">
        <v>66</v>
      </c>
      <c r="AD66" s="21">
        <v>43657</v>
      </c>
      <c r="AE66" t="s">
        <v>44</v>
      </c>
      <c r="AF66" t="s">
        <v>44</v>
      </c>
      <c r="AG66" t="s">
        <v>44</v>
      </c>
      <c r="AH66" s="21">
        <v>43647</v>
      </c>
      <c r="AK66" t="s">
        <v>263</v>
      </c>
      <c r="AL66" t="s">
        <v>783</v>
      </c>
    </row>
    <row r="67" spans="1:39" x14ac:dyDescent="0.3">
      <c r="A67" t="s">
        <v>400</v>
      </c>
      <c r="B67" t="s">
        <v>45</v>
      </c>
      <c r="C67" t="s">
        <v>43</v>
      </c>
      <c r="D67" t="s">
        <v>401</v>
      </c>
      <c r="E67" t="s">
        <v>251</v>
      </c>
      <c r="F67" t="s">
        <v>51</v>
      </c>
      <c r="G67" t="s">
        <v>201</v>
      </c>
      <c r="H67" s="1" t="s">
        <v>386</v>
      </c>
      <c r="I67" t="s">
        <v>44</v>
      </c>
      <c r="J67" s="11" t="s">
        <v>402</v>
      </c>
      <c r="L67" t="s">
        <v>44</v>
      </c>
      <c r="M67" t="s">
        <v>44</v>
      </c>
      <c r="P67" t="s">
        <v>403</v>
      </c>
      <c r="Q67" t="s">
        <v>44</v>
      </c>
      <c r="R67" s="6" t="s">
        <v>404</v>
      </c>
      <c r="T67" s="16" t="s">
        <v>44</v>
      </c>
      <c r="U67" t="s">
        <v>44</v>
      </c>
      <c r="V67" t="s">
        <v>44</v>
      </c>
      <c r="W67" s="16" t="s">
        <v>784</v>
      </c>
      <c r="Y67" s="21">
        <v>43621</v>
      </c>
      <c r="Z67" s="22">
        <v>0.69844907407407408</v>
      </c>
      <c r="AA67" t="s">
        <v>405</v>
      </c>
      <c r="AB67" t="s">
        <v>95</v>
      </c>
      <c r="AC67" t="s">
        <v>66</v>
      </c>
      <c r="AD67" s="21">
        <v>43657</v>
      </c>
      <c r="AE67" t="s">
        <v>44</v>
      </c>
      <c r="AF67" t="s">
        <v>44</v>
      </c>
      <c r="AG67" t="s">
        <v>44</v>
      </c>
      <c r="AH67" s="21">
        <v>43647</v>
      </c>
      <c r="AK67" t="s">
        <v>263</v>
      </c>
      <c r="AL67" t="s">
        <v>785</v>
      </c>
    </row>
    <row r="68" spans="1:39" x14ac:dyDescent="0.3">
      <c r="A68" t="s">
        <v>407</v>
      </c>
      <c r="B68" t="s">
        <v>45</v>
      </c>
      <c r="C68" t="s">
        <v>43</v>
      </c>
      <c r="D68" t="s">
        <v>408</v>
      </c>
      <c r="E68" t="s">
        <v>409</v>
      </c>
      <c r="F68" t="s">
        <v>51</v>
      </c>
      <c r="G68" t="s">
        <v>44</v>
      </c>
      <c r="H68" s="1" t="s">
        <v>44</v>
      </c>
      <c r="I68" t="s">
        <v>44</v>
      </c>
      <c r="J68" s="11" t="s">
        <v>82</v>
      </c>
      <c r="L68" t="s">
        <v>44</v>
      </c>
      <c r="M68" t="s">
        <v>44</v>
      </c>
      <c r="P68" t="s">
        <v>410</v>
      </c>
      <c r="Q68" t="s">
        <v>44</v>
      </c>
      <c r="R68" s="6" t="s">
        <v>44</v>
      </c>
      <c r="T68" s="16" t="s">
        <v>44</v>
      </c>
      <c r="U68" t="s">
        <v>44</v>
      </c>
      <c r="V68" t="s">
        <v>44</v>
      </c>
      <c r="W68" s="16" t="s">
        <v>552</v>
      </c>
      <c r="Y68" s="21">
        <v>43621</v>
      </c>
      <c r="Z68" s="22">
        <v>0.70439814814814816</v>
      </c>
      <c r="AB68" t="s">
        <v>44</v>
      </c>
      <c r="AC68" t="s">
        <v>66</v>
      </c>
      <c r="AD68" s="21">
        <v>43623</v>
      </c>
      <c r="AE68" t="s">
        <v>44</v>
      </c>
      <c r="AF68" t="s">
        <v>44</v>
      </c>
      <c r="AG68" t="s">
        <v>44</v>
      </c>
      <c r="AH68" s="21">
        <v>43623</v>
      </c>
      <c r="AK68" t="s">
        <v>263</v>
      </c>
      <c r="AL68" t="s">
        <v>553</v>
      </c>
    </row>
    <row r="69" spans="1:39" x14ac:dyDescent="0.3">
      <c r="A69" t="s">
        <v>411</v>
      </c>
      <c r="B69" t="s">
        <v>45</v>
      </c>
      <c r="C69" t="s">
        <v>43</v>
      </c>
      <c r="D69" t="s">
        <v>412</v>
      </c>
      <c r="E69" t="s">
        <v>306</v>
      </c>
      <c r="F69" t="s">
        <v>786</v>
      </c>
      <c r="G69" t="s">
        <v>204</v>
      </c>
      <c r="H69" s="1" t="s">
        <v>44</v>
      </c>
      <c r="I69" t="s">
        <v>44</v>
      </c>
      <c r="J69" s="11" t="s">
        <v>787</v>
      </c>
      <c r="L69" t="s">
        <v>44</v>
      </c>
      <c r="M69" t="s">
        <v>44</v>
      </c>
      <c r="P69" t="s">
        <v>413</v>
      </c>
      <c r="Q69" t="s">
        <v>44</v>
      </c>
      <c r="R69" s="6" t="s">
        <v>788</v>
      </c>
      <c r="T69" s="16" t="s">
        <v>44</v>
      </c>
      <c r="U69" t="s">
        <v>44</v>
      </c>
      <c r="V69" t="s">
        <v>44</v>
      </c>
      <c r="W69" s="16" t="s">
        <v>1274</v>
      </c>
      <c r="Y69" s="21">
        <v>43621</v>
      </c>
      <c r="Z69" s="22">
        <v>0.71917824074074066</v>
      </c>
      <c r="AA69" t="s">
        <v>6</v>
      </c>
      <c r="AB69" t="s">
        <v>44</v>
      </c>
      <c r="AC69" t="s">
        <v>66</v>
      </c>
      <c r="AD69" s="21">
        <v>43678</v>
      </c>
      <c r="AE69" t="s">
        <v>44</v>
      </c>
      <c r="AF69" t="s">
        <v>44</v>
      </c>
      <c r="AG69" t="s">
        <v>44</v>
      </c>
      <c r="AH69" s="21">
        <v>43661</v>
      </c>
      <c r="AK69" t="s">
        <v>263</v>
      </c>
      <c r="AL69" t="s">
        <v>1275</v>
      </c>
      <c r="AM69" s="14" t="s">
        <v>426</v>
      </c>
    </row>
    <row r="70" spans="1:39" x14ac:dyDescent="0.3">
      <c r="A70" t="s">
        <v>414</v>
      </c>
      <c r="B70" t="s">
        <v>45</v>
      </c>
      <c r="C70" t="s">
        <v>43</v>
      </c>
      <c r="D70" t="s">
        <v>415</v>
      </c>
      <c r="E70" t="s">
        <v>416</v>
      </c>
      <c r="G70" t="s">
        <v>44</v>
      </c>
      <c r="H70" s="1" t="s">
        <v>44</v>
      </c>
      <c r="I70" t="s">
        <v>44</v>
      </c>
      <c r="J70" s="11" t="s">
        <v>82</v>
      </c>
      <c r="L70" t="s">
        <v>44</v>
      </c>
      <c r="M70" t="s">
        <v>44</v>
      </c>
      <c r="P70" t="s">
        <v>417</v>
      </c>
      <c r="Q70" t="s">
        <v>44</v>
      </c>
      <c r="R70" s="6" t="s">
        <v>44</v>
      </c>
      <c r="T70" s="16" t="s">
        <v>44</v>
      </c>
      <c r="U70" t="s">
        <v>44</v>
      </c>
      <c r="V70" t="s">
        <v>44</v>
      </c>
      <c r="W70" s="16" t="s">
        <v>684</v>
      </c>
      <c r="Y70" s="21">
        <v>43621</v>
      </c>
      <c r="Z70" s="22">
        <v>0.72218749999999998</v>
      </c>
      <c r="AB70" t="s">
        <v>44</v>
      </c>
      <c r="AC70" t="s">
        <v>66</v>
      </c>
      <c r="AD70" s="21">
        <v>43643</v>
      </c>
      <c r="AE70" t="s">
        <v>44</v>
      </c>
      <c r="AF70" t="s">
        <v>44</v>
      </c>
      <c r="AG70" t="s">
        <v>44</v>
      </c>
      <c r="AH70" s="21">
        <v>43633</v>
      </c>
      <c r="AK70" t="s">
        <v>263</v>
      </c>
      <c r="AL70" t="s">
        <v>685</v>
      </c>
    </row>
    <row r="71" spans="1:39" x14ac:dyDescent="0.3">
      <c r="A71" t="s">
        <v>418</v>
      </c>
      <c r="B71" t="s">
        <v>45</v>
      </c>
      <c r="C71" t="s">
        <v>43</v>
      </c>
      <c r="D71" t="s">
        <v>419</v>
      </c>
      <c r="E71" t="s">
        <v>686</v>
      </c>
      <c r="G71" t="s">
        <v>44</v>
      </c>
      <c r="H71" s="1" t="s">
        <v>44</v>
      </c>
      <c r="I71" t="s">
        <v>44</v>
      </c>
      <c r="J71" s="11" t="s">
        <v>539</v>
      </c>
      <c r="L71" t="s">
        <v>44</v>
      </c>
      <c r="M71" t="s">
        <v>44</v>
      </c>
      <c r="P71" t="s">
        <v>420</v>
      </c>
      <c r="Q71" t="s">
        <v>639</v>
      </c>
      <c r="R71" s="6" t="s">
        <v>687</v>
      </c>
      <c r="T71" s="16" t="s">
        <v>44</v>
      </c>
      <c r="U71" t="s">
        <v>44</v>
      </c>
      <c r="V71" t="s">
        <v>44</v>
      </c>
      <c r="W71" s="16" t="s">
        <v>1238</v>
      </c>
      <c r="Y71" s="21">
        <v>43621</v>
      </c>
      <c r="Z71" s="22">
        <v>0.73077546296296303</v>
      </c>
      <c r="AB71" t="s">
        <v>44</v>
      </c>
      <c r="AC71" t="s">
        <v>66</v>
      </c>
      <c r="AD71" s="21">
        <v>43676</v>
      </c>
      <c r="AE71" t="s">
        <v>44</v>
      </c>
      <c r="AF71" t="s">
        <v>44</v>
      </c>
      <c r="AG71" t="s">
        <v>44</v>
      </c>
      <c r="AH71" s="21">
        <v>43682</v>
      </c>
      <c r="AK71" t="s">
        <v>248</v>
      </c>
      <c r="AL71" t="s">
        <v>1239</v>
      </c>
    </row>
    <row r="72" spans="1:39" x14ac:dyDescent="0.3">
      <c r="A72" t="s">
        <v>421</v>
      </c>
      <c r="B72" t="s">
        <v>45</v>
      </c>
      <c r="C72" t="s">
        <v>43</v>
      </c>
      <c r="D72" t="s">
        <v>422</v>
      </c>
      <c r="E72" t="s">
        <v>423</v>
      </c>
      <c r="G72" t="s">
        <v>44</v>
      </c>
      <c r="H72" s="1" t="s">
        <v>44</v>
      </c>
      <c r="I72" t="s">
        <v>44</v>
      </c>
      <c r="J72" s="11" t="s">
        <v>82</v>
      </c>
      <c r="L72" t="s">
        <v>44</v>
      </c>
      <c r="M72" t="s">
        <v>44</v>
      </c>
      <c r="P72" t="s">
        <v>424</v>
      </c>
      <c r="Q72" t="s">
        <v>44</v>
      </c>
      <c r="R72" s="6" t="s">
        <v>44</v>
      </c>
      <c r="T72" s="16" t="s">
        <v>44</v>
      </c>
      <c r="U72" t="s">
        <v>44</v>
      </c>
      <c r="V72" t="s">
        <v>44</v>
      </c>
      <c r="W72" s="16" t="s">
        <v>425</v>
      </c>
      <c r="Y72" s="21">
        <v>43621</v>
      </c>
      <c r="Z72" s="22">
        <v>0.73491898148148149</v>
      </c>
      <c r="AB72" t="s">
        <v>44</v>
      </c>
      <c r="AC72" t="s">
        <v>66</v>
      </c>
      <c r="AD72" s="21">
        <v>43622</v>
      </c>
      <c r="AE72" t="s">
        <v>44</v>
      </c>
      <c r="AF72" t="s">
        <v>44</v>
      </c>
      <c r="AG72" t="s">
        <v>44</v>
      </c>
      <c r="AH72" s="21">
        <v>43622</v>
      </c>
      <c r="AK72" t="s">
        <v>263</v>
      </c>
      <c r="AL72" t="s">
        <v>532</v>
      </c>
    </row>
    <row r="73" spans="1:39" x14ac:dyDescent="0.3">
      <c r="A73" t="s">
        <v>427</v>
      </c>
      <c r="B73" t="s">
        <v>45</v>
      </c>
      <c r="C73" t="s">
        <v>43</v>
      </c>
      <c r="D73" t="s">
        <v>428</v>
      </c>
      <c r="E73" t="s">
        <v>306</v>
      </c>
      <c r="G73" t="s">
        <v>44</v>
      </c>
      <c r="H73" s="1" t="s">
        <v>44</v>
      </c>
      <c r="I73" t="s">
        <v>44</v>
      </c>
      <c r="J73" s="11" t="s">
        <v>127</v>
      </c>
      <c r="L73" t="s">
        <v>44</v>
      </c>
      <c r="M73" t="s">
        <v>44</v>
      </c>
      <c r="P73" t="s">
        <v>429</v>
      </c>
      <c r="Q73" t="s">
        <v>44</v>
      </c>
      <c r="R73" s="6" t="s">
        <v>789</v>
      </c>
      <c r="T73" s="16" t="s">
        <v>44</v>
      </c>
      <c r="U73" t="s">
        <v>44</v>
      </c>
      <c r="V73" t="s">
        <v>44</v>
      </c>
      <c r="W73" s="16" t="s">
        <v>1240</v>
      </c>
      <c r="Y73" s="21">
        <v>43622</v>
      </c>
      <c r="Z73" s="22">
        <v>0.38805555555555554</v>
      </c>
      <c r="AB73" t="s">
        <v>44</v>
      </c>
      <c r="AC73" t="s">
        <v>66</v>
      </c>
      <c r="AD73" s="21">
        <v>43676</v>
      </c>
      <c r="AE73" t="s">
        <v>44</v>
      </c>
      <c r="AF73" t="s">
        <v>44</v>
      </c>
      <c r="AG73" t="s">
        <v>44</v>
      </c>
      <c r="AH73" s="21">
        <v>43682</v>
      </c>
      <c r="AK73" t="s">
        <v>248</v>
      </c>
      <c r="AL73" t="s">
        <v>1241</v>
      </c>
    </row>
    <row r="74" spans="1:39" x14ac:dyDescent="0.3">
      <c r="A74" t="s">
        <v>431</v>
      </c>
      <c r="B74" t="s">
        <v>45</v>
      </c>
      <c r="C74" t="s">
        <v>43</v>
      </c>
      <c r="D74" t="s">
        <v>432</v>
      </c>
      <c r="E74" t="s">
        <v>215</v>
      </c>
      <c r="G74" t="s">
        <v>44</v>
      </c>
      <c r="H74" s="1" t="s">
        <v>44</v>
      </c>
      <c r="I74" t="s">
        <v>44</v>
      </c>
      <c r="J74" s="11" t="s">
        <v>82</v>
      </c>
      <c r="L74" t="s">
        <v>44</v>
      </c>
      <c r="M74" t="s">
        <v>44</v>
      </c>
      <c r="P74" t="s">
        <v>433</v>
      </c>
      <c r="Q74" t="s">
        <v>44</v>
      </c>
      <c r="R74" s="6" t="s">
        <v>434</v>
      </c>
      <c r="T74" s="16" t="s">
        <v>44</v>
      </c>
      <c r="U74" t="s">
        <v>44</v>
      </c>
      <c r="V74" t="s">
        <v>44</v>
      </c>
      <c r="W74" s="16" t="s">
        <v>533</v>
      </c>
      <c r="Y74" s="21">
        <v>43622</v>
      </c>
      <c r="Z74" s="22">
        <v>0.39097222222222222</v>
      </c>
      <c r="AB74" t="s">
        <v>44</v>
      </c>
      <c r="AC74" t="s">
        <v>66</v>
      </c>
      <c r="AD74" s="21">
        <v>43622</v>
      </c>
      <c r="AE74" t="s">
        <v>44</v>
      </c>
      <c r="AF74" t="s">
        <v>44</v>
      </c>
      <c r="AG74" t="s">
        <v>44</v>
      </c>
      <c r="AH74" s="21">
        <v>43623</v>
      </c>
      <c r="AK74" t="s">
        <v>263</v>
      </c>
      <c r="AL74" t="s">
        <v>534</v>
      </c>
    </row>
    <row r="75" spans="1:39" x14ac:dyDescent="0.3">
      <c r="A75" t="s">
        <v>435</v>
      </c>
      <c r="B75" t="s">
        <v>45</v>
      </c>
      <c r="C75" t="s">
        <v>43</v>
      </c>
      <c r="D75" t="s">
        <v>436</v>
      </c>
      <c r="E75" t="s">
        <v>538</v>
      </c>
      <c r="F75" t="s">
        <v>51</v>
      </c>
      <c r="G75" t="s">
        <v>280</v>
      </c>
      <c r="H75" s="1" t="s">
        <v>535</v>
      </c>
      <c r="I75" t="s">
        <v>536</v>
      </c>
      <c r="J75" s="11" t="s">
        <v>539</v>
      </c>
      <c r="L75" t="s">
        <v>44</v>
      </c>
      <c r="M75" t="s">
        <v>44</v>
      </c>
      <c r="P75" t="s">
        <v>437</v>
      </c>
      <c r="Q75" t="s">
        <v>44</v>
      </c>
      <c r="R75" s="6" t="s">
        <v>537</v>
      </c>
      <c r="T75" s="16" t="s">
        <v>44</v>
      </c>
      <c r="U75" t="s">
        <v>44</v>
      </c>
      <c r="V75" t="s">
        <v>44</v>
      </c>
      <c r="W75" s="16" t="s">
        <v>633</v>
      </c>
      <c r="Y75" s="21">
        <v>43622</v>
      </c>
      <c r="Z75" s="22">
        <v>0.39688657407407407</v>
      </c>
      <c r="AA75" t="s">
        <v>6</v>
      </c>
      <c r="AB75" t="s">
        <v>95</v>
      </c>
      <c r="AC75" t="s">
        <v>54</v>
      </c>
      <c r="AD75" s="21">
        <v>43633</v>
      </c>
      <c r="AE75" t="s">
        <v>44</v>
      </c>
      <c r="AF75" t="s">
        <v>44</v>
      </c>
      <c r="AG75" t="s">
        <v>44</v>
      </c>
      <c r="AH75" s="21">
        <v>43633</v>
      </c>
      <c r="AK75" t="s">
        <v>263</v>
      </c>
      <c r="AL75" t="s">
        <v>634</v>
      </c>
    </row>
    <row r="76" spans="1:39" x14ac:dyDescent="0.3">
      <c r="A76" t="s">
        <v>438</v>
      </c>
      <c r="B76" t="s">
        <v>45</v>
      </c>
      <c r="C76" t="s">
        <v>43</v>
      </c>
      <c r="D76" t="s">
        <v>439</v>
      </c>
      <c r="E76" t="s">
        <v>440</v>
      </c>
      <c r="F76" t="s">
        <v>51</v>
      </c>
      <c r="G76" t="s">
        <v>44</v>
      </c>
      <c r="H76" s="1" t="s">
        <v>44</v>
      </c>
      <c r="I76" t="s">
        <v>44</v>
      </c>
      <c r="J76" s="11" t="s">
        <v>82</v>
      </c>
      <c r="K76" t="s">
        <v>44</v>
      </c>
      <c r="L76" t="s">
        <v>44</v>
      </c>
      <c r="M76" t="s">
        <v>44</v>
      </c>
      <c r="N76" t="s">
        <v>44</v>
      </c>
      <c r="P76" t="s">
        <v>441</v>
      </c>
      <c r="Q76" t="s">
        <v>44</v>
      </c>
      <c r="R76" s="6" t="s">
        <v>442</v>
      </c>
      <c r="T76" s="16" t="s">
        <v>44</v>
      </c>
      <c r="U76" t="s">
        <v>44</v>
      </c>
      <c r="V76" t="s">
        <v>44</v>
      </c>
      <c r="W76" s="16" t="s">
        <v>443</v>
      </c>
      <c r="Y76" s="21">
        <v>43622</v>
      </c>
      <c r="Z76" s="22">
        <v>0.40157407407407408</v>
      </c>
      <c r="AA76" t="s">
        <v>44</v>
      </c>
      <c r="AB76" t="s">
        <v>44</v>
      </c>
      <c r="AC76" t="s">
        <v>66</v>
      </c>
      <c r="AD76" t="s">
        <v>430</v>
      </c>
      <c r="AE76" t="s">
        <v>44</v>
      </c>
      <c r="AF76" t="s">
        <v>44</v>
      </c>
      <c r="AG76" t="s">
        <v>44</v>
      </c>
      <c r="AH76" s="21">
        <v>43637</v>
      </c>
      <c r="AK76" t="s">
        <v>263</v>
      </c>
    </row>
    <row r="77" spans="1:39" x14ac:dyDescent="0.3">
      <c r="A77" t="s">
        <v>444</v>
      </c>
      <c r="B77" t="s">
        <v>45</v>
      </c>
      <c r="C77" t="s">
        <v>43</v>
      </c>
      <c r="D77" t="s">
        <v>445</v>
      </c>
      <c r="E77" t="s">
        <v>688</v>
      </c>
      <c r="G77" t="s">
        <v>44</v>
      </c>
      <c r="H77" s="1" t="s">
        <v>44</v>
      </c>
      <c r="I77" t="s">
        <v>44</v>
      </c>
      <c r="J77" s="11" t="s">
        <v>82</v>
      </c>
      <c r="L77" t="s">
        <v>44</v>
      </c>
      <c r="M77" t="s">
        <v>44</v>
      </c>
      <c r="P77" t="s">
        <v>446</v>
      </c>
      <c r="Q77" t="s">
        <v>44</v>
      </c>
      <c r="R77" s="6" t="s">
        <v>44</v>
      </c>
      <c r="T77" s="16" t="s">
        <v>44</v>
      </c>
      <c r="U77" t="s">
        <v>44</v>
      </c>
      <c r="V77" t="s">
        <v>44</v>
      </c>
      <c r="W77" s="16" t="s">
        <v>689</v>
      </c>
      <c r="Y77" s="21">
        <v>43622</v>
      </c>
      <c r="Z77" s="22">
        <v>0.40778935185185183</v>
      </c>
      <c r="AB77" t="s">
        <v>44</v>
      </c>
      <c r="AC77" t="s">
        <v>66</v>
      </c>
      <c r="AD77" s="21">
        <v>43643</v>
      </c>
      <c r="AE77" t="s">
        <v>44</v>
      </c>
      <c r="AF77" t="s">
        <v>44</v>
      </c>
      <c r="AG77" t="s">
        <v>44</v>
      </c>
      <c r="AH77" s="21">
        <v>43643</v>
      </c>
      <c r="AK77" t="s">
        <v>263</v>
      </c>
      <c r="AL77" t="s">
        <v>690</v>
      </c>
    </row>
    <row r="78" spans="1:39" x14ac:dyDescent="0.3">
      <c r="A78" t="s">
        <v>447</v>
      </c>
      <c r="B78" t="s">
        <v>45</v>
      </c>
      <c r="C78" t="s">
        <v>43</v>
      </c>
      <c r="D78" t="s">
        <v>448</v>
      </c>
      <c r="E78" t="s">
        <v>203</v>
      </c>
      <c r="G78" t="s">
        <v>44</v>
      </c>
      <c r="H78" s="1" t="s">
        <v>44</v>
      </c>
      <c r="I78" t="s">
        <v>44</v>
      </c>
      <c r="J78" s="11" t="s">
        <v>82</v>
      </c>
      <c r="L78" t="s">
        <v>44</v>
      </c>
      <c r="M78" t="s">
        <v>44</v>
      </c>
      <c r="P78" t="s">
        <v>449</v>
      </c>
      <c r="Q78" t="s">
        <v>44</v>
      </c>
      <c r="R78" s="6" t="s">
        <v>44</v>
      </c>
      <c r="T78" s="16" t="s">
        <v>44</v>
      </c>
      <c r="U78" t="s">
        <v>44</v>
      </c>
      <c r="V78" t="s">
        <v>44</v>
      </c>
      <c r="W78" s="16" t="s">
        <v>635</v>
      </c>
      <c r="Y78" s="21">
        <v>43622</v>
      </c>
      <c r="Z78" s="22">
        <v>0.42024305555555558</v>
      </c>
      <c r="AB78" t="s">
        <v>44</v>
      </c>
      <c r="AC78" t="s">
        <v>66</v>
      </c>
      <c r="AD78" s="21">
        <v>43633</v>
      </c>
      <c r="AE78" t="s">
        <v>44</v>
      </c>
      <c r="AF78" t="s">
        <v>44</v>
      </c>
      <c r="AG78" t="s">
        <v>44</v>
      </c>
      <c r="AH78" s="21">
        <v>43633</v>
      </c>
      <c r="AK78" t="s">
        <v>263</v>
      </c>
      <c r="AL78" t="s">
        <v>636</v>
      </c>
    </row>
    <row r="79" spans="1:39" x14ac:dyDescent="0.3">
      <c r="A79" t="s">
        <v>450</v>
      </c>
      <c r="B79" t="s">
        <v>45</v>
      </c>
      <c r="C79" t="s">
        <v>43</v>
      </c>
      <c r="D79" t="s">
        <v>451</v>
      </c>
      <c r="E79" t="s">
        <v>302</v>
      </c>
      <c r="F79" t="s">
        <v>51</v>
      </c>
      <c r="G79" t="s">
        <v>126</v>
      </c>
      <c r="H79" s="1" t="s">
        <v>540</v>
      </c>
      <c r="I79" t="s">
        <v>541</v>
      </c>
      <c r="J79" s="11" t="s">
        <v>539</v>
      </c>
      <c r="L79" t="s">
        <v>44</v>
      </c>
      <c r="M79" t="s">
        <v>44</v>
      </c>
      <c r="P79" t="s">
        <v>452</v>
      </c>
      <c r="Q79" t="s">
        <v>44</v>
      </c>
      <c r="R79" s="6" t="s">
        <v>542</v>
      </c>
      <c r="T79" s="16" t="s">
        <v>44</v>
      </c>
      <c r="U79" t="s">
        <v>44</v>
      </c>
      <c r="V79" t="s">
        <v>44</v>
      </c>
      <c r="W79" s="16" t="s">
        <v>691</v>
      </c>
      <c r="Y79" s="21">
        <v>43622</v>
      </c>
      <c r="Z79" s="22">
        <v>0.42250000000000004</v>
      </c>
      <c r="AA79" t="s">
        <v>6</v>
      </c>
      <c r="AB79" t="s">
        <v>44</v>
      </c>
      <c r="AC79" t="s">
        <v>66</v>
      </c>
      <c r="AD79" s="21">
        <v>43643</v>
      </c>
      <c r="AE79" t="s">
        <v>44</v>
      </c>
      <c r="AF79" t="s">
        <v>44</v>
      </c>
      <c r="AG79" t="s">
        <v>44</v>
      </c>
      <c r="AH79" s="21">
        <v>43647</v>
      </c>
      <c r="AK79" t="s">
        <v>263</v>
      </c>
      <c r="AL79" t="s">
        <v>692</v>
      </c>
    </row>
    <row r="80" spans="1:39" x14ac:dyDescent="0.3">
      <c r="A80" t="s">
        <v>453</v>
      </c>
      <c r="B80" t="s">
        <v>45</v>
      </c>
      <c r="C80" t="s">
        <v>43</v>
      </c>
      <c r="D80" t="s">
        <v>454</v>
      </c>
      <c r="E80" t="s">
        <v>693</v>
      </c>
      <c r="G80" t="s">
        <v>44</v>
      </c>
      <c r="H80" s="1" t="s">
        <v>44</v>
      </c>
      <c r="I80" t="s">
        <v>44</v>
      </c>
      <c r="J80" s="11" t="s">
        <v>82</v>
      </c>
      <c r="L80" t="s">
        <v>44</v>
      </c>
      <c r="M80" t="s">
        <v>44</v>
      </c>
      <c r="P80" t="s">
        <v>455</v>
      </c>
      <c r="Q80" t="s">
        <v>44</v>
      </c>
      <c r="R80" s="6" t="s">
        <v>694</v>
      </c>
      <c r="T80" s="16" t="s">
        <v>44</v>
      </c>
      <c r="U80" t="s">
        <v>44</v>
      </c>
      <c r="V80" t="s">
        <v>44</v>
      </c>
      <c r="W80" s="16" t="s">
        <v>790</v>
      </c>
      <c r="Y80" s="21">
        <v>43622</v>
      </c>
      <c r="Z80" s="22">
        <v>0.42587962962962966</v>
      </c>
      <c r="AB80" t="s">
        <v>44</v>
      </c>
      <c r="AC80" t="s">
        <v>66</v>
      </c>
      <c r="AD80" s="21">
        <v>43657</v>
      </c>
      <c r="AE80" t="s">
        <v>44</v>
      </c>
      <c r="AF80" t="s">
        <v>44</v>
      </c>
      <c r="AG80" t="s">
        <v>44</v>
      </c>
      <c r="AH80" s="21">
        <v>43647</v>
      </c>
      <c r="AK80" t="s">
        <v>263</v>
      </c>
      <c r="AL80" t="s">
        <v>791</v>
      </c>
    </row>
    <row r="81" spans="1:38" x14ac:dyDescent="0.3">
      <c r="A81" t="s">
        <v>456</v>
      </c>
      <c r="B81" t="s">
        <v>45</v>
      </c>
      <c r="C81" t="s">
        <v>43</v>
      </c>
      <c r="D81" t="s">
        <v>457</v>
      </c>
      <c r="E81" t="s">
        <v>458</v>
      </c>
      <c r="F81" t="s">
        <v>51</v>
      </c>
      <c r="G81" t="s">
        <v>204</v>
      </c>
      <c r="H81" s="1" t="s">
        <v>459</v>
      </c>
      <c r="I81" t="s">
        <v>460</v>
      </c>
      <c r="J81" s="11" t="s">
        <v>82</v>
      </c>
      <c r="L81" t="s">
        <v>44</v>
      </c>
      <c r="M81" t="s">
        <v>44</v>
      </c>
      <c r="P81" t="s">
        <v>461</v>
      </c>
      <c r="Q81" t="s">
        <v>44</v>
      </c>
      <c r="R81" s="6" t="s">
        <v>462</v>
      </c>
      <c r="T81" s="16" t="s">
        <v>44</v>
      </c>
      <c r="U81" t="s">
        <v>44</v>
      </c>
      <c r="V81" t="s">
        <v>44</v>
      </c>
      <c r="W81" s="16" t="s">
        <v>619</v>
      </c>
      <c r="Y81" s="21">
        <v>43622</v>
      </c>
      <c r="Z81" s="22">
        <v>0.43046296296296299</v>
      </c>
      <c r="AA81" t="s">
        <v>6</v>
      </c>
      <c r="AB81" t="s">
        <v>44</v>
      </c>
      <c r="AC81" t="s">
        <v>54</v>
      </c>
      <c r="AD81" s="21">
        <v>43630</v>
      </c>
      <c r="AE81" t="s">
        <v>44</v>
      </c>
      <c r="AF81" t="s">
        <v>44</v>
      </c>
      <c r="AG81" t="s">
        <v>44</v>
      </c>
      <c r="AH81" s="21">
        <v>43626</v>
      </c>
      <c r="AK81" t="s">
        <v>263</v>
      </c>
      <c r="AL81" t="s">
        <v>620</v>
      </c>
    </row>
    <row r="82" spans="1:38" x14ac:dyDescent="0.3">
      <c r="A82" t="s">
        <v>463</v>
      </c>
      <c r="B82" t="s">
        <v>45</v>
      </c>
      <c r="C82" t="s">
        <v>43</v>
      </c>
      <c r="D82" t="s">
        <v>464</v>
      </c>
      <c r="E82" t="s">
        <v>465</v>
      </c>
      <c r="F82" t="s">
        <v>199</v>
      </c>
      <c r="G82" t="s">
        <v>44</v>
      </c>
      <c r="H82" s="1" t="s">
        <v>44</v>
      </c>
      <c r="I82" t="s">
        <v>44</v>
      </c>
      <c r="J82" s="11" t="s">
        <v>82</v>
      </c>
      <c r="K82" t="s">
        <v>44</v>
      </c>
      <c r="L82" t="s">
        <v>44</v>
      </c>
      <c r="M82" t="s">
        <v>44</v>
      </c>
      <c r="N82" t="s">
        <v>44</v>
      </c>
      <c r="P82" t="s">
        <v>466</v>
      </c>
      <c r="Q82" t="s">
        <v>44</v>
      </c>
      <c r="R82" s="6" t="s">
        <v>44</v>
      </c>
      <c r="T82" s="16" t="s">
        <v>44</v>
      </c>
      <c r="U82" t="s">
        <v>44</v>
      </c>
      <c r="V82" t="s">
        <v>44</v>
      </c>
      <c r="W82" s="16" t="s">
        <v>467</v>
      </c>
      <c r="Y82" s="21">
        <v>43622</v>
      </c>
      <c r="Z82" s="22">
        <v>0.46461805555555552</v>
      </c>
      <c r="AA82" t="s">
        <v>44</v>
      </c>
      <c r="AB82" t="s">
        <v>44</v>
      </c>
      <c r="AC82" t="s">
        <v>66</v>
      </c>
      <c r="AD82" t="s">
        <v>430</v>
      </c>
      <c r="AE82" t="s">
        <v>44</v>
      </c>
      <c r="AF82" t="s">
        <v>44</v>
      </c>
      <c r="AG82" t="s">
        <v>44</v>
      </c>
      <c r="AH82" s="21">
        <v>43637</v>
      </c>
      <c r="AK82" t="s">
        <v>263</v>
      </c>
    </row>
    <row r="83" spans="1:38" x14ac:dyDescent="0.3">
      <c r="A83" t="s">
        <v>468</v>
      </c>
      <c r="B83" t="s">
        <v>45</v>
      </c>
      <c r="C83" t="s">
        <v>43</v>
      </c>
      <c r="D83" t="s">
        <v>469</v>
      </c>
      <c r="E83" t="s">
        <v>470</v>
      </c>
      <c r="G83" t="s">
        <v>44</v>
      </c>
      <c r="H83" s="1" t="s">
        <v>44</v>
      </c>
      <c r="I83" t="s">
        <v>44</v>
      </c>
      <c r="J83" s="11" t="s">
        <v>406</v>
      </c>
      <c r="L83" t="s">
        <v>44</v>
      </c>
      <c r="M83" t="s">
        <v>44</v>
      </c>
      <c r="P83" t="s">
        <v>471</v>
      </c>
      <c r="Q83" t="s">
        <v>44</v>
      </c>
      <c r="R83" s="6" t="s">
        <v>472</v>
      </c>
      <c r="T83" s="16" t="s">
        <v>44</v>
      </c>
      <c r="U83" t="s">
        <v>44</v>
      </c>
      <c r="V83" t="s">
        <v>44</v>
      </c>
      <c r="W83" s="16" t="s">
        <v>1242</v>
      </c>
      <c r="Y83" s="21">
        <v>43622</v>
      </c>
      <c r="Z83" s="22">
        <v>0.46788194444444442</v>
      </c>
      <c r="AB83" t="s">
        <v>44</v>
      </c>
      <c r="AC83" t="s">
        <v>66</v>
      </c>
      <c r="AD83" s="21">
        <v>43676</v>
      </c>
      <c r="AE83" t="s">
        <v>44</v>
      </c>
      <c r="AF83" t="s">
        <v>44</v>
      </c>
      <c r="AG83" t="s">
        <v>44</v>
      </c>
      <c r="AH83" s="21">
        <v>43682</v>
      </c>
      <c r="AK83" t="s">
        <v>248</v>
      </c>
      <c r="AL83" t="s">
        <v>1243</v>
      </c>
    </row>
    <row r="84" spans="1:38" x14ac:dyDescent="0.3">
      <c r="A84" t="s">
        <v>473</v>
      </c>
      <c r="B84" t="s">
        <v>45</v>
      </c>
      <c r="C84" t="s">
        <v>43</v>
      </c>
      <c r="D84" t="s">
        <v>474</v>
      </c>
      <c r="E84" t="s">
        <v>44</v>
      </c>
      <c r="F84" t="s">
        <v>44</v>
      </c>
      <c r="G84" t="s">
        <v>44</v>
      </c>
      <c r="H84" s="1" t="s">
        <v>44</v>
      </c>
      <c r="I84" t="s">
        <v>44</v>
      </c>
      <c r="J84" s="11" t="s">
        <v>82</v>
      </c>
      <c r="K84" t="s">
        <v>44</v>
      </c>
      <c r="L84" t="s">
        <v>44</v>
      </c>
      <c r="M84" t="s">
        <v>44</v>
      </c>
      <c r="N84" t="s">
        <v>44</v>
      </c>
      <c r="P84" t="s">
        <v>475</v>
      </c>
      <c r="Q84" t="s">
        <v>44</v>
      </c>
      <c r="R84" s="6" t="s">
        <v>44</v>
      </c>
      <c r="T84" s="16" t="s">
        <v>44</v>
      </c>
      <c r="U84" t="s">
        <v>44</v>
      </c>
      <c r="V84" t="s">
        <v>44</v>
      </c>
      <c r="W84" s="16" t="s">
        <v>476</v>
      </c>
      <c r="Y84" s="21">
        <v>43622</v>
      </c>
      <c r="Z84" s="22">
        <v>0.47849537037037032</v>
      </c>
      <c r="AA84" t="s">
        <v>44</v>
      </c>
      <c r="AB84" t="s">
        <v>44</v>
      </c>
      <c r="AC84" t="s">
        <v>66</v>
      </c>
      <c r="AD84" t="s">
        <v>430</v>
      </c>
      <c r="AE84" t="s">
        <v>44</v>
      </c>
      <c r="AF84" t="s">
        <v>44</v>
      </c>
      <c r="AG84" t="s">
        <v>44</v>
      </c>
      <c r="AH84" s="21">
        <v>43637</v>
      </c>
      <c r="AK84" t="s">
        <v>263</v>
      </c>
    </row>
    <row r="85" spans="1:38" x14ac:dyDescent="0.3">
      <c r="A85" t="s">
        <v>477</v>
      </c>
      <c r="B85" t="s">
        <v>45</v>
      </c>
      <c r="C85" t="s">
        <v>43</v>
      </c>
      <c r="D85" t="s">
        <v>478</v>
      </c>
      <c r="E85" t="s">
        <v>44</v>
      </c>
      <c r="F85" t="s">
        <v>44</v>
      </c>
      <c r="G85" t="s">
        <v>44</v>
      </c>
      <c r="H85" s="1" t="s">
        <v>44</v>
      </c>
      <c r="I85" t="s">
        <v>44</v>
      </c>
      <c r="J85" s="11" t="s">
        <v>82</v>
      </c>
      <c r="K85" t="s">
        <v>44</v>
      </c>
      <c r="L85" t="s">
        <v>44</v>
      </c>
      <c r="M85" t="s">
        <v>44</v>
      </c>
      <c r="N85" t="s">
        <v>44</v>
      </c>
      <c r="P85" t="s">
        <v>479</v>
      </c>
      <c r="Q85" t="s">
        <v>44</v>
      </c>
      <c r="R85" s="6" t="s">
        <v>44</v>
      </c>
      <c r="T85" s="16" t="s">
        <v>44</v>
      </c>
      <c r="U85" t="s">
        <v>44</v>
      </c>
      <c r="V85" t="s">
        <v>44</v>
      </c>
      <c r="W85" s="16" t="s">
        <v>480</v>
      </c>
      <c r="Y85" s="21">
        <v>43622</v>
      </c>
      <c r="Z85" s="22">
        <v>0.48569444444444443</v>
      </c>
      <c r="AA85" t="s">
        <v>44</v>
      </c>
      <c r="AB85" t="s">
        <v>44</v>
      </c>
      <c r="AC85" t="s">
        <v>66</v>
      </c>
      <c r="AD85" t="s">
        <v>430</v>
      </c>
      <c r="AE85" t="s">
        <v>44</v>
      </c>
      <c r="AF85" t="s">
        <v>44</v>
      </c>
      <c r="AG85" t="s">
        <v>44</v>
      </c>
      <c r="AH85" s="21">
        <v>43637</v>
      </c>
      <c r="AK85" t="s">
        <v>263</v>
      </c>
    </row>
    <row r="86" spans="1:38" x14ac:dyDescent="0.3">
      <c r="A86" t="s">
        <v>481</v>
      </c>
      <c r="B86" t="s">
        <v>45</v>
      </c>
      <c r="C86" t="s">
        <v>43</v>
      </c>
      <c r="D86" t="s">
        <v>482</v>
      </c>
      <c r="E86" t="s">
        <v>380</v>
      </c>
      <c r="F86" t="s">
        <v>46</v>
      </c>
      <c r="G86" t="s">
        <v>44</v>
      </c>
      <c r="H86" s="1" t="s">
        <v>44</v>
      </c>
      <c r="I86" t="s">
        <v>44</v>
      </c>
      <c r="J86" s="11" t="s">
        <v>82</v>
      </c>
      <c r="K86" t="s">
        <v>44</v>
      </c>
      <c r="L86" t="s">
        <v>44</v>
      </c>
      <c r="M86" t="s">
        <v>44</v>
      </c>
      <c r="N86" t="s">
        <v>44</v>
      </c>
      <c r="P86" t="s">
        <v>483</v>
      </c>
      <c r="Q86" t="s">
        <v>44</v>
      </c>
      <c r="R86" s="6" t="s">
        <v>44</v>
      </c>
      <c r="T86" s="16" t="s">
        <v>44</v>
      </c>
      <c r="U86" t="s">
        <v>44</v>
      </c>
      <c r="V86" t="s">
        <v>44</v>
      </c>
      <c r="W86" s="16" t="s">
        <v>484</v>
      </c>
      <c r="Y86" s="21">
        <v>43622</v>
      </c>
      <c r="Z86" s="22">
        <v>0.49163194444444441</v>
      </c>
      <c r="AA86" t="s">
        <v>44</v>
      </c>
      <c r="AB86" t="s">
        <v>44</v>
      </c>
      <c r="AC86" t="s">
        <v>66</v>
      </c>
      <c r="AD86" t="s">
        <v>430</v>
      </c>
      <c r="AE86" t="s">
        <v>44</v>
      </c>
      <c r="AF86" t="s">
        <v>44</v>
      </c>
      <c r="AG86" t="s">
        <v>44</v>
      </c>
      <c r="AH86" s="21">
        <v>44013</v>
      </c>
      <c r="AK86" t="s">
        <v>248</v>
      </c>
    </row>
    <row r="87" spans="1:38" x14ac:dyDescent="0.3">
      <c r="A87" t="s">
        <v>485</v>
      </c>
      <c r="B87" t="s">
        <v>45</v>
      </c>
      <c r="C87" t="s">
        <v>43</v>
      </c>
      <c r="D87" t="s">
        <v>486</v>
      </c>
      <c r="E87" t="s">
        <v>487</v>
      </c>
      <c r="G87" t="s">
        <v>44</v>
      </c>
      <c r="H87" s="1" t="s">
        <v>44</v>
      </c>
      <c r="I87" t="s">
        <v>44</v>
      </c>
      <c r="J87" s="11" t="s">
        <v>82</v>
      </c>
      <c r="L87" t="s">
        <v>44</v>
      </c>
      <c r="M87" t="s">
        <v>44</v>
      </c>
      <c r="P87" t="s">
        <v>488</v>
      </c>
      <c r="Q87" t="s">
        <v>44</v>
      </c>
      <c r="R87" s="6" t="s">
        <v>44</v>
      </c>
      <c r="T87" s="16" t="s">
        <v>44</v>
      </c>
      <c r="U87" t="s">
        <v>44</v>
      </c>
      <c r="V87" t="s">
        <v>44</v>
      </c>
      <c r="W87" s="16" t="s">
        <v>695</v>
      </c>
      <c r="Y87" s="21">
        <v>43622</v>
      </c>
      <c r="Z87" s="22">
        <v>0.49574074074074076</v>
      </c>
      <c r="AB87" t="s">
        <v>44</v>
      </c>
      <c r="AC87" t="s">
        <v>66</v>
      </c>
      <c r="AD87" s="21">
        <v>43644</v>
      </c>
      <c r="AE87" t="s">
        <v>44</v>
      </c>
      <c r="AF87" t="s">
        <v>44</v>
      </c>
      <c r="AG87" t="s">
        <v>44</v>
      </c>
      <c r="AH87" s="21">
        <v>43644</v>
      </c>
      <c r="AK87" t="s">
        <v>263</v>
      </c>
      <c r="AL87" t="s">
        <v>696</v>
      </c>
    </row>
    <row r="88" spans="1:38" x14ac:dyDescent="0.3">
      <c r="A88" t="s">
        <v>489</v>
      </c>
      <c r="B88" t="s">
        <v>45</v>
      </c>
      <c r="C88" t="s">
        <v>43</v>
      </c>
      <c r="D88" t="s">
        <v>490</v>
      </c>
      <c r="E88" t="s">
        <v>340</v>
      </c>
      <c r="F88" t="s">
        <v>44</v>
      </c>
      <c r="G88" t="s">
        <v>44</v>
      </c>
      <c r="H88" s="1" t="s">
        <v>44</v>
      </c>
      <c r="I88" t="s">
        <v>44</v>
      </c>
      <c r="J88" s="11" t="s">
        <v>82</v>
      </c>
      <c r="K88" t="s">
        <v>44</v>
      </c>
      <c r="L88" t="s">
        <v>44</v>
      </c>
      <c r="M88" t="s">
        <v>44</v>
      </c>
      <c r="N88" t="s">
        <v>44</v>
      </c>
      <c r="P88" t="s">
        <v>491</v>
      </c>
      <c r="Q88" t="s">
        <v>44</v>
      </c>
      <c r="R88" s="6" t="s">
        <v>492</v>
      </c>
      <c r="T88" s="16" t="s">
        <v>44</v>
      </c>
      <c r="U88" t="s">
        <v>44</v>
      </c>
      <c r="V88" t="s">
        <v>44</v>
      </c>
      <c r="W88" s="16" t="s">
        <v>493</v>
      </c>
      <c r="Y88" s="21">
        <v>43622</v>
      </c>
      <c r="Z88" s="22">
        <v>0.57855324074074077</v>
      </c>
      <c r="AA88" t="s">
        <v>44</v>
      </c>
      <c r="AB88" t="s">
        <v>44</v>
      </c>
      <c r="AC88" t="s">
        <v>66</v>
      </c>
      <c r="AD88" t="s">
        <v>430</v>
      </c>
      <c r="AE88" t="s">
        <v>44</v>
      </c>
      <c r="AF88" t="s">
        <v>44</v>
      </c>
      <c r="AG88" t="s">
        <v>44</v>
      </c>
      <c r="AH88" s="21">
        <v>43637</v>
      </c>
      <c r="AK88" t="s">
        <v>263</v>
      </c>
    </row>
    <row r="89" spans="1:38" x14ac:dyDescent="0.3">
      <c r="A89" t="s">
        <v>494</v>
      </c>
      <c r="B89" t="s">
        <v>45</v>
      </c>
      <c r="C89" t="s">
        <v>43</v>
      </c>
      <c r="D89" t="s">
        <v>495</v>
      </c>
      <c r="E89" t="s">
        <v>44</v>
      </c>
      <c r="G89" t="s">
        <v>44</v>
      </c>
      <c r="H89" s="1" t="s">
        <v>44</v>
      </c>
      <c r="I89" t="s">
        <v>44</v>
      </c>
      <c r="J89" s="11" t="s">
        <v>82</v>
      </c>
      <c r="L89" t="s">
        <v>44</v>
      </c>
      <c r="M89" t="s">
        <v>44</v>
      </c>
      <c r="P89" t="s">
        <v>496</v>
      </c>
      <c r="Q89" t="s">
        <v>44</v>
      </c>
      <c r="R89" s="6" t="s">
        <v>622</v>
      </c>
      <c r="T89" s="16" t="s">
        <v>44</v>
      </c>
      <c r="U89" t="s">
        <v>44</v>
      </c>
      <c r="V89" t="s">
        <v>44</v>
      </c>
      <c r="W89" s="16" t="s">
        <v>697</v>
      </c>
      <c r="Y89" s="21">
        <v>43622</v>
      </c>
      <c r="Z89" s="22">
        <v>0.61763888888888896</v>
      </c>
      <c r="AB89" t="s">
        <v>44</v>
      </c>
      <c r="AC89" t="s">
        <v>66</v>
      </c>
      <c r="AD89" s="21">
        <v>43644</v>
      </c>
      <c r="AE89" t="s">
        <v>44</v>
      </c>
      <c r="AF89" t="s">
        <v>44</v>
      </c>
      <c r="AG89" t="s">
        <v>44</v>
      </c>
      <c r="AH89" s="21">
        <v>43635</v>
      </c>
      <c r="AK89" t="s">
        <v>263</v>
      </c>
      <c r="AL89" t="s">
        <v>698</v>
      </c>
    </row>
    <row r="90" spans="1:38" x14ac:dyDescent="0.3">
      <c r="A90" t="s">
        <v>497</v>
      </c>
      <c r="B90" t="s">
        <v>45</v>
      </c>
      <c r="C90" t="s">
        <v>43</v>
      </c>
      <c r="D90" t="s">
        <v>498</v>
      </c>
      <c r="E90" t="s">
        <v>345</v>
      </c>
      <c r="F90" t="s">
        <v>51</v>
      </c>
      <c r="G90" t="s">
        <v>639</v>
      </c>
      <c r="H90" s="1" t="s">
        <v>44</v>
      </c>
      <c r="I90" t="s">
        <v>44</v>
      </c>
      <c r="J90" s="11" t="s">
        <v>82</v>
      </c>
      <c r="L90" t="s">
        <v>44</v>
      </c>
      <c r="M90" t="s">
        <v>44</v>
      </c>
      <c r="P90" t="s">
        <v>499</v>
      </c>
      <c r="Q90" t="s">
        <v>44</v>
      </c>
      <c r="R90" s="6" t="s">
        <v>640</v>
      </c>
      <c r="T90" s="16" t="s">
        <v>44</v>
      </c>
      <c r="U90" t="s">
        <v>44</v>
      </c>
      <c r="V90" t="s">
        <v>44</v>
      </c>
      <c r="W90" s="16" t="s">
        <v>1276</v>
      </c>
      <c r="Y90" s="21">
        <v>43622</v>
      </c>
      <c r="Z90" s="22">
        <v>0.62395833333333328</v>
      </c>
      <c r="AB90" t="s">
        <v>44</v>
      </c>
      <c r="AC90" t="s">
        <v>66</v>
      </c>
      <c r="AD90" s="21">
        <v>43678</v>
      </c>
      <c r="AE90" t="s">
        <v>44</v>
      </c>
      <c r="AF90" t="s">
        <v>44</v>
      </c>
      <c r="AG90" t="s">
        <v>44</v>
      </c>
      <c r="AH90" s="21">
        <v>43661</v>
      </c>
      <c r="AK90" t="s">
        <v>263</v>
      </c>
      <c r="AL90" t="s">
        <v>1277</v>
      </c>
    </row>
    <row r="91" spans="1:38" x14ac:dyDescent="0.3">
      <c r="A91" t="s">
        <v>500</v>
      </c>
      <c r="B91" t="s">
        <v>45</v>
      </c>
      <c r="C91" t="s">
        <v>43</v>
      </c>
      <c r="D91" t="s">
        <v>501</v>
      </c>
      <c r="E91" t="s">
        <v>502</v>
      </c>
      <c r="F91" t="s">
        <v>51</v>
      </c>
      <c r="G91" t="s">
        <v>44</v>
      </c>
      <c r="H91" s="1" t="s">
        <v>44</v>
      </c>
      <c r="I91" t="s">
        <v>503</v>
      </c>
      <c r="J91" s="11" t="s">
        <v>82</v>
      </c>
      <c r="K91" t="s">
        <v>44</v>
      </c>
      <c r="L91" t="s">
        <v>44</v>
      </c>
      <c r="M91" t="s">
        <v>44</v>
      </c>
      <c r="N91" t="s">
        <v>44</v>
      </c>
      <c r="P91" t="s">
        <v>504</v>
      </c>
      <c r="Q91" t="s">
        <v>44</v>
      </c>
      <c r="R91" s="6" t="s">
        <v>44</v>
      </c>
      <c r="T91" s="16" t="s">
        <v>44</v>
      </c>
      <c r="U91" t="s">
        <v>44</v>
      </c>
      <c r="V91" t="s">
        <v>44</v>
      </c>
      <c r="W91" s="16" t="s">
        <v>505</v>
      </c>
      <c r="Y91" s="21">
        <v>43622</v>
      </c>
      <c r="Z91" s="22">
        <v>0.63833333333333331</v>
      </c>
      <c r="AA91" t="s">
        <v>44</v>
      </c>
      <c r="AB91" t="s">
        <v>44</v>
      </c>
      <c r="AC91" t="s">
        <v>66</v>
      </c>
      <c r="AD91" t="s">
        <v>430</v>
      </c>
      <c r="AE91" t="s">
        <v>44</v>
      </c>
      <c r="AF91" t="s">
        <v>44</v>
      </c>
      <c r="AG91" t="s">
        <v>44</v>
      </c>
      <c r="AH91" s="21">
        <v>43637</v>
      </c>
      <c r="AK91" t="s">
        <v>263</v>
      </c>
    </row>
    <row r="92" spans="1:38" x14ac:dyDescent="0.3">
      <c r="A92" t="s">
        <v>506</v>
      </c>
      <c r="B92" t="s">
        <v>45</v>
      </c>
      <c r="C92" t="s">
        <v>43</v>
      </c>
      <c r="D92" t="s">
        <v>507</v>
      </c>
      <c r="E92" t="s">
        <v>699</v>
      </c>
      <c r="G92" t="s">
        <v>44</v>
      </c>
      <c r="H92" s="1" t="s">
        <v>44</v>
      </c>
      <c r="I92" t="s">
        <v>44</v>
      </c>
      <c r="J92" s="11" t="s">
        <v>82</v>
      </c>
      <c r="L92" t="s">
        <v>44</v>
      </c>
      <c r="M92" t="s">
        <v>44</v>
      </c>
      <c r="P92" t="s">
        <v>508</v>
      </c>
      <c r="Q92" t="s">
        <v>44</v>
      </c>
      <c r="R92" s="6" t="s">
        <v>700</v>
      </c>
      <c r="T92" s="16" t="s">
        <v>44</v>
      </c>
      <c r="U92" t="s">
        <v>44</v>
      </c>
      <c r="V92" t="s">
        <v>44</v>
      </c>
      <c r="W92" s="16" t="s">
        <v>792</v>
      </c>
      <c r="Y92" s="21">
        <v>43622</v>
      </c>
      <c r="Z92" s="22">
        <v>0.64451388888888894</v>
      </c>
      <c r="AB92" t="s">
        <v>44</v>
      </c>
      <c r="AC92" t="s">
        <v>66</v>
      </c>
      <c r="AD92" s="21">
        <v>43657</v>
      </c>
      <c r="AE92" t="s">
        <v>44</v>
      </c>
      <c r="AF92" t="s">
        <v>44</v>
      </c>
      <c r="AG92" t="s">
        <v>44</v>
      </c>
      <c r="AH92" s="21">
        <v>43648</v>
      </c>
      <c r="AK92" t="s">
        <v>263</v>
      </c>
      <c r="AL92" t="s">
        <v>793</v>
      </c>
    </row>
    <row r="93" spans="1:38" x14ac:dyDescent="0.3">
      <c r="A93" t="s">
        <v>509</v>
      </c>
      <c r="B93" t="s">
        <v>45</v>
      </c>
      <c r="C93" t="s">
        <v>43</v>
      </c>
      <c r="D93" t="s">
        <v>510</v>
      </c>
      <c r="E93" t="s">
        <v>511</v>
      </c>
      <c r="F93" t="s">
        <v>51</v>
      </c>
      <c r="G93" t="s">
        <v>280</v>
      </c>
      <c r="H93" s="1" t="s">
        <v>44</v>
      </c>
      <c r="I93" t="s">
        <v>512</v>
      </c>
      <c r="J93" s="11" t="s">
        <v>539</v>
      </c>
      <c r="L93" t="s">
        <v>44</v>
      </c>
      <c r="M93" t="s">
        <v>44</v>
      </c>
      <c r="P93" t="s">
        <v>513</v>
      </c>
      <c r="Q93" t="s">
        <v>44</v>
      </c>
      <c r="R93" s="6" t="s">
        <v>514</v>
      </c>
      <c r="T93" s="16" t="s">
        <v>44</v>
      </c>
      <c r="U93" t="s">
        <v>44</v>
      </c>
      <c r="V93" t="s">
        <v>44</v>
      </c>
      <c r="W93" s="16" t="s">
        <v>796</v>
      </c>
      <c r="Y93" s="21">
        <v>43622</v>
      </c>
      <c r="Z93" s="22">
        <v>0.6507060185185185</v>
      </c>
      <c r="AA93" t="s">
        <v>6</v>
      </c>
      <c r="AB93" t="s">
        <v>198</v>
      </c>
      <c r="AC93" t="s">
        <v>54</v>
      </c>
      <c r="AD93" s="21">
        <v>43657</v>
      </c>
      <c r="AE93" t="s">
        <v>44</v>
      </c>
      <c r="AF93" t="s">
        <v>44</v>
      </c>
      <c r="AG93" t="s">
        <v>44</v>
      </c>
      <c r="AH93" s="21">
        <v>43710</v>
      </c>
      <c r="AK93" t="s">
        <v>248</v>
      </c>
      <c r="AL93" t="s">
        <v>797</v>
      </c>
    </row>
    <row r="94" spans="1:38" x14ac:dyDescent="0.3">
      <c r="A94" t="s">
        <v>515</v>
      </c>
      <c r="B94" t="s">
        <v>45</v>
      </c>
      <c r="C94" t="s">
        <v>43</v>
      </c>
      <c r="D94" t="s">
        <v>516</v>
      </c>
      <c r="E94" t="s">
        <v>517</v>
      </c>
      <c r="F94" t="s">
        <v>44</v>
      </c>
      <c r="G94" t="s">
        <v>44</v>
      </c>
      <c r="H94" s="1" t="s">
        <v>44</v>
      </c>
      <c r="I94" t="s">
        <v>44</v>
      </c>
      <c r="J94" s="11" t="s">
        <v>82</v>
      </c>
      <c r="K94" t="s">
        <v>44</v>
      </c>
      <c r="L94" t="s">
        <v>44</v>
      </c>
      <c r="M94" t="s">
        <v>44</v>
      </c>
      <c r="N94" t="s">
        <v>44</v>
      </c>
      <c r="P94" t="s">
        <v>518</v>
      </c>
      <c r="Q94" t="s">
        <v>44</v>
      </c>
      <c r="R94" s="6" t="s">
        <v>519</v>
      </c>
      <c r="T94" s="16" t="s">
        <v>44</v>
      </c>
      <c r="U94" t="s">
        <v>44</v>
      </c>
      <c r="V94" t="s">
        <v>44</v>
      </c>
      <c r="W94" s="16" t="s">
        <v>520</v>
      </c>
      <c r="Y94" s="21">
        <v>43622</v>
      </c>
      <c r="Z94" s="22">
        <v>0.66039351851851846</v>
      </c>
      <c r="AA94" t="s">
        <v>44</v>
      </c>
      <c r="AB94" t="s">
        <v>44</v>
      </c>
      <c r="AC94" t="s">
        <v>66</v>
      </c>
      <c r="AD94" t="s">
        <v>430</v>
      </c>
      <c r="AE94" t="s">
        <v>44</v>
      </c>
      <c r="AF94" t="s">
        <v>44</v>
      </c>
      <c r="AG94" t="s">
        <v>44</v>
      </c>
      <c r="AH94" s="21">
        <v>43637</v>
      </c>
      <c r="AK94" t="s">
        <v>263</v>
      </c>
    </row>
    <row r="95" spans="1:38" x14ac:dyDescent="0.3">
      <c r="A95" t="s">
        <v>521</v>
      </c>
      <c r="B95" t="s">
        <v>45</v>
      </c>
      <c r="C95" t="s">
        <v>43</v>
      </c>
      <c r="D95" t="s">
        <v>522</v>
      </c>
      <c r="E95" t="s">
        <v>523</v>
      </c>
      <c r="F95" t="s">
        <v>46</v>
      </c>
      <c r="G95" t="s">
        <v>44</v>
      </c>
      <c r="H95" s="1" t="s">
        <v>44</v>
      </c>
      <c r="I95" t="s">
        <v>524</v>
      </c>
      <c r="J95" s="11" t="s">
        <v>701</v>
      </c>
      <c r="L95" t="s">
        <v>44</v>
      </c>
      <c r="M95" t="s">
        <v>44</v>
      </c>
      <c r="P95" t="s">
        <v>525</v>
      </c>
      <c r="Q95" t="s">
        <v>44</v>
      </c>
      <c r="R95" s="6" t="s">
        <v>526</v>
      </c>
      <c r="T95" s="16" t="s">
        <v>44</v>
      </c>
      <c r="U95" t="s">
        <v>44</v>
      </c>
      <c r="V95" t="s">
        <v>44</v>
      </c>
      <c r="W95" s="16" t="s">
        <v>794</v>
      </c>
      <c r="Y95" s="21">
        <v>43622</v>
      </c>
      <c r="Z95" s="22">
        <v>0.69270833333333337</v>
      </c>
      <c r="AB95" t="s">
        <v>44</v>
      </c>
      <c r="AC95" t="s">
        <v>54</v>
      </c>
      <c r="AD95" s="21">
        <v>43657</v>
      </c>
      <c r="AE95" t="s">
        <v>44</v>
      </c>
      <c r="AF95" t="s">
        <v>44</v>
      </c>
      <c r="AG95" t="s">
        <v>44</v>
      </c>
      <c r="AH95" s="21">
        <v>43663</v>
      </c>
      <c r="AK95" t="s">
        <v>248</v>
      </c>
      <c r="AL95" t="s">
        <v>795</v>
      </c>
    </row>
    <row r="96" spans="1:38" x14ac:dyDescent="0.3">
      <c r="A96" t="s">
        <v>527</v>
      </c>
      <c r="B96" t="s">
        <v>45</v>
      </c>
      <c r="C96" t="s">
        <v>43</v>
      </c>
      <c r="D96" t="s">
        <v>528</v>
      </c>
      <c r="E96" t="s">
        <v>44</v>
      </c>
      <c r="G96" t="s">
        <v>44</v>
      </c>
      <c r="H96" s="1" t="s">
        <v>44</v>
      </c>
      <c r="I96" t="s">
        <v>44</v>
      </c>
      <c r="J96" s="11" t="s">
        <v>82</v>
      </c>
      <c r="L96" t="s">
        <v>44</v>
      </c>
      <c r="M96" t="s">
        <v>44</v>
      </c>
      <c r="P96" t="s">
        <v>529</v>
      </c>
      <c r="Q96" t="s">
        <v>44</v>
      </c>
      <c r="R96" s="6" t="s">
        <v>550</v>
      </c>
      <c r="T96" s="16" t="s">
        <v>44</v>
      </c>
      <c r="U96" t="s">
        <v>44</v>
      </c>
      <c r="V96" t="s">
        <v>44</v>
      </c>
      <c r="W96" s="16" t="s">
        <v>702</v>
      </c>
      <c r="Y96" s="21">
        <v>43622</v>
      </c>
      <c r="Z96" s="22">
        <v>0.70318287037037042</v>
      </c>
      <c r="AB96" t="s">
        <v>44</v>
      </c>
      <c r="AC96" t="s">
        <v>66</v>
      </c>
      <c r="AD96" s="21">
        <v>43644</v>
      </c>
      <c r="AE96" t="s">
        <v>44</v>
      </c>
      <c r="AF96" t="s">
        <v>44</v>
      </c>
      <c r="AG96" t="s">
        <v>44</v>
      </c>
      <c r="AH96" s="21">
        <v>43634</v>
      </c>
      <c r="AK96" t="s">
        <v>263</v>
      </c>
      <c r="AL96" t="s">
        <v>703</v>
      </c>
    </row>
    <row r="97" spans="1:38" x14ac:dyDescent="0.3">
      <c r="A97" t="s">
        <v>544</v>
      </c>
      <c r="B97" t="s">
        <v>45</v>
      </c>
      <c r="C97" t="s">
        <v>43</v>
      </c>
      <c r="D97" t="s">
        <v>545</v>
      </c>
      <c r="E97" t="s">
        <v>546</v>
      </c>
      <c r="F97" t="s">
        <v>51</v>
      </c>
      <c r="G97" t="s">
        <v>201</v>
      </c>
      <c r="H97" s="1" t="s">
        <v>547</v>
      </c>
      <c r="I97" t="s">
        <v>44</v>
      </c>
      <c r="J97" s="11" t="s">
        <v>539</v>
      </c>
      <c r="K97" t="s">
        <v>134</v>
      </c>
      <c r="L97" t="s">
        <v>44</v>
      </c>
      <c r="M97" t="s">
        <v>44</v>
      </c>
      <c r="P97" t="s">
        <v>548</v>
      </c>
      <c r="Q97" t="s">
        <v>44</v>
      </c>
      <c r="R97" s="6" t="s">
        <v>549</v>
      </c>
      <c r="T97" s="16" t="s">
        <v>44</v>
      </c>
      <c r="U97" t="s">
        <v>44</v>
      </c>
      <c r="V97" t="s">
        <v>44</v>
      </c>
      <c r="W97" s="16" t="s">
        <v>798</v>
      </c>
      <c r="Y97" s="21">
        <v>43623</v>
      </c>
      <c r="Z97" s="22">
        <v>0.39934027777777775</v>
      </c>
      <c r="AA97" t="s">
        <v>6</v>
      </c>
      <c r="AB97" t="s">
        <v>198</v>
      </c>
      <c r="AC97" t="s">
        <v>54</v>
      </c>
      <c r="AD97" s="21">
        <v>43657</v>
      </c>
      <c r="AE97" t="s">
        <v>44</v>
      </c>
      <c r="AF97" t="s">
        <v>44</v>
      </c>
      <c r="AG97" t="s">
        <v>44</v>
      </c>
      <c r="AH97" s="21">
        <v>43661</v>
      </c>
      <c r="AK97" t="s">
        <v>248</v>
      </c>
      <c r="AL97" t="s">
        <v>799</v>
      </c>
    </row>
    <row r="98" spans="1:38" x14ac:dyDescent="0.3">
      <c r="A98" t="s">
        <v>641</v>
      </c>
      <c r="B98" t="s">
        <v>45</v>
      </c>
      <c r="C98" t="s">
        <v>43</v>
      </c>
      <c r="D98" t="s">
        <v>642</v>
      </c>
      <c r="E98" t="s">
        <v>44</v>
      </c>
      <c r="G98" t="s">
        <v>44</v>
      </c>
      <c r="H98" s="1" t="s">
        <v>44</v>
      </c>
      <c r="I98" t="s">
        <v>44</v>
      </c>
      <c r="J98" s="11" t="s">
        <v>82</v>
      </c>
      <c r="L98" t="s">
        <v>44</v>
      </c>
      <c r="M98" t="s">
        <v>44</v>
      </c>
      <c r="P98" t="s">
        <v>643</v>
      </c>
      <c r="Q98" t="s">
        <v>44</v>
      </c>
      <c r="R98" s="6" t="s">
        <v>44</v>
      </c>
      <c r="T98" s="16" t="s">
        <v>44</v>
      </c>
      <c r="U98" t="s">
        <v>44</v>
      </c>
      <c r="V98" t="s">
        <v>44</v>
      </c>
      <c r="W98" s="16" t="s">
        <v>704</v>
      </c>
      <c r="Y98" s="21">
        <v>43634</v>
      </c>
      <c r="Z98" s="22">
        <v>0.62375000000000003</v>
      </c>
      <c r="AB98" t="s">
        <v>44</v>
      </c>
      <c r="AC98" t="s">
        <v>66</v>
      </c>
      <c r="AD98" s="21">
        <v>43644</v>
      </c>
      <c r="AE98" t="s">
        <v>44</v>
      </c>
      <c r="AF98" t="s">
        <v>44</v>
      </c>
      <c r="AG98" t="s">
        <v>44</v>
      </c>
      <c r="AH98" s="21">
        <v>43640</v>
      </c>
      <c r="AK98" t="s">
        <v>263</v>
      </c>
      <c r="AL98" t="s">
        <v>705</v>
      </c>
    </row>
    <row r="99" spans="1:38" x14ac:dyDescent="0.3">
      <c r="A99" t="s">
        <v>645</v>
      </c>
      <c r="B99" t="s">
        <v>45</v>
      </c>
      <c r="C99" t="s">
        <v>43</v>
      </c>
      <c r="D99" t="s">
        <v>646</v>
      </c>
      <c r="E99" t="s">
        <v>647</v>
      </c>
      <c r="F99" t="s">
        <v>51</v>
      </c>
      <c r="G99" t="s">
        <v>44</v>
      </c>
      <c r="H99" s="1" t="s">
        <v>648</v>
      </c>
      <c r="I99" t="s">
        <v>44</v>
      </c>
      <c r="J99" s="11" t="s">
        <v>82</v>
      </c>
      <c r="K99" t="s">
        <v>44</v>
      </c>
      <c r="L99" t="s">
        <v>44</v>
      </c>
      <c r="M99" t="s">
        <v>44</v>
      </c>
      <c r="N99" t="s">
        <v>44</v>
      </c>
      <c r="P99" t="s">
        <v>649</v>
      </c>
      <c r="Q99" t="s">
        <v>44</v>
      </c>
      <c r="R99" s="6" t="s">
        <v>650</v>
      </c>
      <c r="T99" s="16" t="s">
        <v>44</v>
      </c>
      <c r="U99" t="s">
        <v>44</v>
      </c>
      <c r="V99" t="s">
        <v>44</v>
      </c>
      <c r="W99" s="16" t="s">
        <v>651</v>
      </c>
      <c r="Y99" s="21">
        <v>43634</v>
      </c>
      <c r="Z99" s="22">
        <v>0.63262731481481482</v>
      </c>
      <c r="AA99" t="s">
        <v>44</v>
      </c>
      <c r="AB99" t="s">
        <v>44</v>
      </c>
      <c r="AC99" t="s">
        <v>66</v>
      </c>
      <c r="AD99" t="s">
        <v>644</v>
      </c>
      <c r="AE99" t="s">
        <v>44</v>
      </c>
      <c r="AF99" t="s">
        <v>44</v>
      </c>
      <c r="AG99" t="s">
        <v>44</v>
      </c>
      <c r="AH99" s="21">
        <v>43990</v>
      </c>
      <c r="AK99" t="s">
        <v>248</v>
      </c>
    </row>
    <row r="100" spans="1:38" x14ac:dyDescent="0.3">
      <c r="A100" t="s">
        <v>652</v>
      </c>
      <c r="B100" t="s">
        <v>45</v>
      </c>
      <c r="C100" t="s">
        <v>43</v>
      </c>
      <c r="D100" t="s">
        <v>653</v>
      </c>
      <c r="E100" t="s">
        <v>654</v>
      </c>
      <c r="F100" t="s">
        <v>51</v>
      </c>
      <c r="G100" t="s">
        <v>563</v>
      </c>
      <c r="H100" s="1" t="s">
        <v>44</v>
      </c>
      <c r="I100" t="s">
        <v>44</v>
      </c>
      <c r="J100" s="11" t="s">
        <v>82</v>
      </c>
      <c r="L100" t="s">
        <v>44</v>
      </c>
      <c r="M100" t="s">
        <v>44</v>
      </c>
      <c r="P100" t="s">
        <v>655</v>
      </c>
      <c r="Q100" t="s">
        <v>44</v>
      </c>
      <c r="R100" s="6" t="s">
        <v>802</v>
      </c>
      <c r="T100" s="16" t="s">
        <v>44</v>
      </c>
      <c r="U100" t="s">
        <v>44</v>
      </c>
      <c r="V100" t="s">
        <v>44</v>
      </c>
      <c r="W100" s="16" t="s">
        <v>803</v>
      </c>
      <c r="Y100" s="21">
        <v>43635</v>
      </c>
      <c r="Z100" s="22">
        <v>0.41614583333333338</v>
      </c>
      <c r="AA100" t="s">
        <v>6</v>
      </c>
      <c r="AB100" t="s">
        <v>44</v>
      </c>
      <c r="AC100" t="s">
        <v>137</v>
      </c>
      <c r="AD100" s="21">
        <v>43657</v>
      </c>
      <c r="AE100" t="s">
        <v>44</v>
      </c>
      <c r="AF100" t="s">
        <v>44</v>
      </c>
      <c r="AG100" t="s">
        <v>44</v>
      </c>
      <c r="AH100" s="21">
        <v>43662</v>
      </c>
      <c r="AK100" t="s">
        <v>248</v>
      </c>
      <c r="AL100" t="s">
        <v>804</v>
      </c>
    </row>
    <row r="101" spans="1:38" x14ac:dyDescent="0.3">
      <c r="A101" t="s">
        <v>657</v>
      </c>
      <c r="B101" t="s">
        <v>45</v>
      </c>
      <c r="C101" t="s">
        <v>43</v>
      </c>
      <c r="D101" t="s">
        <v>658</v>
      </c>
      <c r="E101" t="s">
        <v>659</v>
      </c>
      <c r="F101" t="s">
        <v>208</v>
      </c>
      <c r="G101" t="s">
        <v>44</v>
      </c>
      <c r="H101" s="1" t="s">
        <v>44</v>
      </c>
      <c r="I101" t="s">
        <v>44</v>
      </c>
      <c r="J101" s="11" t="s">
        <v>82</v>
      </c>
      <c r="K101" t="s">
        <v>44</v>
      </c>
      <c r="L101" t="s">
        <v>44</v>
      </c>
      <c r="M101" t="s">
        <v>44</v>
      </c>
      <c r="N101" t="s">
        <v>44</v>
      </c>
      <c r="P101" t="s">
        <v>660</v>
      </c>
      <c r="Q101" t="s">
        <v>44</v>
      </c>
      <c r="R101" s="6" t="s">
        <v>661</v>
      </c>
      <c r="T101" s="16" t="s">
        <v>44</v>
      </c>
      <c r="U101" t="s">
        <v>44</v>
      </c>
      <c r="V101" t="s">
        <v>662</v>
      </c>
      <c r="W101" s="16" t="s">
        <v>663</v>
      </c>
      <c r="Y101" s="21">
        <v>43635</v>
      </c>
      <c r="Z101" s="22">
        <v>0.41868055555555556</v>
      </c>
      <c r="AA101" t="s">
        <v>44</v>
      </c>
      <c r="AB101" t="s">
        <v>44</v>
      </c>
      <c r="AC101" t="s">
        <v>54</v>
      </c>
      <c r="AD101" t="s">
        <v>656</v>
      </c>
      <c r="AE101" t="s">
        <v>44</v>
      </c>
      <c r="AF101" t="s">
        <v>44</v>
      </c>
      <c r="AG101" t="s">
        <v>44</v>
      </c>
      <c r="AH101" s="21">
        <v>44013</v>
      </c>
      <c r="AK101" t="s">
        <v>248</v>
      </c>
    </row>
    <row r="102" spans="1:38" x14ac:dyDescent="0.3">
      <c r="A102" s="20" t="s">
        <v>801</v>
      </c>
      <c r="B102" t="s">
        <v>45</v>
      </c>
      <c r="C102" t="s">
        <v>43</v>
      </c>
      <c r="D102" s="14" t="s">
        <v>710</v>
      </c>
      <c r="E102" s="14" t="s">
        <v>711</v>
      </c>
      <c r="G102" t="s">
        <v>82</v>
      </c>
      <c r="H102" s="1" t="s">
        <v>44</v>
      </c>
      <c r="I102" t="s">
        <v>44</v>
      </c>
      <c r="J102" s="11" t="s">
        <v>82</v>
      </c>
      <c r="L102" t="s">
        <v>44</v>
      </c>
      <c r="M102" t="s">
        <v>44</v>
      </c>
      <c r="P102" s="14" t="s">
        <v>712</v>
      </c>
      <c r="Q102" t="s">
        <v>44</v>
      </c>
      <c r="R102" s="14" t="s">
        <v>800</v>
      </c>
      <c r="S102" t="s">
        <v>44</v>
      </c>
      <c r="T102" s="16" t="s">
        <v>44</v>
      </c>
      <c r="U102" t="s">
        <v>44</v>
      </c>
      <c r="V102" t="s">
        <v>44</v>
      </c>
      <c r="W102" s="16" t="s">
        <v>1283</v>
      </c>
      <c r="Y102" s="21" t="s">
        <v>44</v>
      </c>
      <c r="Z102" s="22"/>
      <c r="AA102" s="21"/>
      <c r="AB102" t="s">
        <v>44</v>
      </c>
      <c r="AC102" t="s">
        <v>66</v>
      </c>
      <c r="AD102" s="21">
        <v>43682</v>
      </c>
      <c r="AE102" s="21" t="s">
        <v>44</v>
      </c>
      <c r="AF102" t="s">
        <v>44</v>
      </c>
      <c r="AG102" t="s">
        <v>44</v>
      </c>
      <c r="AH102" s="21">
        <v>43664</v>
      </c>
      <c r="AK102" t="s">
        <v>263</v>
      </c>
      <c r="AL102" s="22" t="s">
        <v>1284</v>
      </c>
    </row>
    <row r="103" spans="1:38" x14ac:dyDescent="0.3">
      <c r="A103" t="s">
        <v>713</v>
      </c>
      <c r="B103" t="s">
        <v>45</v>
      </c>
      <c r="C103" t="s">
        <v>43</v>
      </c>
      <c r="D103" t="s">
        <v>714</v>
      </c>
      <c r="E103" t="s">
        <v>715</v>
      </c>
      <c r="F103" t="s">
        <v>51</v>
      </c>
      <c r="G103" t="s">
        <v>44</v>
      </c>
      <c r="H103" s="1" t="s">
        <v>44</v>
      </c>
      <c r="I103" t="s">
        <v>44</v>
      </c>
      <c r="J103" s="11" t="s">
        <v>82</v>
      </c>
      <c r="K103" t="s">
        <v>44</v>
      </c>
      <c r="L103" t="s">
        <v>44</v>
      </c>
      <c r="M103" t="s">
        <v>44</v>
      </c>
      <c r="N103" t="s">
        <v>44</v>
      </c>
      <c r="P103" t="s">
        <v>716</v>
      </c>
      <c r="Q103" t="s">
        <v>44</v>
      </c>
      <c r="R103" s="6" t="s">
        <v>44</v>
      </c>
      <c r="T103" s="16" t="s">
        <v>44</v>
      </c>
      <c r="U103" t="s">
        <v>44</v>
      </c>
      <c r="V103" t="s">
        <v>44</v>
      </c>
      <c r="W103" s="16" t="s">
        <v>717</v>
      </c>
      <c r="Y103" s="21">
        <v>43648</v>
      </c>
      <c r="Z103" s="22">
        <v>0.65862268518518519</v>
      </c>
      <c r="AA103" t="s">
        <v>44</v>
      </c>
      <c r="AB103" t="s">
        <v>44</v>
      </c>
      <c r="AC103" t="s">
        <v>66</v>
      </c>
      <c r="AD103" t="s">
        <v>718</v>
      </c>
      <c r="AE103" t="s">
        <v>44</v>
      </c>
      <c r="AF103" t="s">
        <v>44</v>
      </c>
      <c r="AG103" t="s">
        <v>44</v>
      </c>
      <c r="AH103" s="21">
        <v>43663</v>
      </c>
      <c r="AK103" t="s">
        <v>263</v>
      </c>
    </row>
    <row r="104" spans="1:38" x14ac:dyDescent="0.3">
      <c r="A104" t="s">
        <v>719</v>
      </c>
      <c r="B104" t="s">
        <v>45</v>
      </c>
      <c r="C104" t="s">
        <v>43</v>
      </c>
      <c r="D104" t="s">
        <v>720</v>
      </c>
      <c r="E104" t="s">
        <v>729</v>
      </c>
      <c r="G104" t="s">
        <v>44</v>
      </c>
      <c r="H104" s="1" t="s">
        <v>44</v>
      </c>
      <c r="I104" t="s">
        <v>44</v>
      </c>
      <c r="J104" s="11" t="s">
        <v>82</v>
      </c>
      <c r="L104" t="s">
        <v>44</v>
      </c>
      <c r="M104" t="s">
        <v>44</v>
      </c>
      <c r="P104" t="s">
        <v>721</v>
      </c>
      <c r="Q104" t="s">
        <v>44</v>
      </c>
      <c r="R104" s="6" t="s">
        <v>44</v>
      </c>
      <c r="T104" s="16" t="s">
        <v>44</v>
      </c>
      <c r="U104" t="s">
        <v>44</v>
      </c>
      <c r="V104" t="s">
        <v>44</v>
      </c>
      <c r="W104" s="16" t="s">
        <v>730</v>
      </c>
      <c r="Y104" s="21">
        <v>43648</v>
      </c>
      <c r="Z104" s="22">
        <v>0.68421296296296286</v>
      </c>
      <c r="AB104" t="s">
        <v>44</v>
      </c>
      <c r="AC104" t="s">
        <v>66</v>
      </c>
      <c r="AD104" s="21">
        <v>43649</v>
      </c>
      <c r="AE104" t="s">
        <v>44</v>
      </c>
      <c r="AF104" t="s">
        <v>44</v>
      </c>
      <c r="AG104" t="s">
        <v>44</v>
      </c>
      <c r="AH104" s="21">
        <v>43648</v>
      </c>
      <c r="AK104" t="s">
        <v>263</v>
      </c>
      <c r="AL104" t="s">
        <v>731</v>
      </c>
    </row>
    <row r="105" spans="1:38" x14ac:dyDescent="0.3">
      <c r="A105" t="s">
        <v>722</v>
      </c>
      <c r="B105" t="s">
        <v>161</v>
      </c>
      <c r="C105" t="s">
        <v>43</v>
      </c>
      <c r="D105" t="s">
        <v>723</v>
      </c>
      <c r="E105" t="s">
        <v>470</v>
      </c>
      <c r="F105" t="s">
        <v>199</v>
      </c>
      <c r="G105" t="s">
        <v>44</v>
      </c>
      <c r="H105" s="1" t="s">
        <v>44</v>
      </c>
      <c r="I105" t="s">
        <v>44</v>
      </c>
      <c r="J105" s="11" t="s">
        <v>82</v>
      </c>
      <c r="K105" t="s">
        <v>44</v>
      </c>
      <c r="L105" t="s">
        <v>44</v>
      </c>
      <c r="M105" t="s">
        <v>44</v>
      </c>
      <c r="N105" t="s">
        <v>44</v>
      </c>
      <c r="P105" t="s">
        <v>724</v>
      </c>
      <c r="Q105" t="s">
        <v>44</v>
      </c>
      <c r="R105" s="6" t="s">
        <v>44</v>
      </c>
      <c r="T105" s="16" t="s">
        <v>44</v>
      </c>
      <c r="U105" t="s">
        <v>44</v>
      </c>
      <c r="V105" t="s">
        <v>44</v>
      </c>
      <c r="W105" s="16" t="s">
        <v>725</v>
      </c>
      <c r="Y105" s="21">
        <v>43648</v>
      </c>
      <c r="Z105" s="22">
        <v>0.70658564814814817</v>
      </c>
      <c r="AA105" t="s">
        <v>44</v>
      </c>
      <c r="AB105" t="s">
        <v>44</v>
      </c>
      <c r="AC105" t="s">
        <v>66</v>
      </c>
      <c r="AD105" t="s">
        <v>718</v>
      </c>
      <c r="AE105" t="s">
        <v>44</v>
      </c>
      <c r="AF105" t="s">
        <v>44</v>
      </c>
      <c r="AG105" t="s">
        <v>44</v>
      </c>
      <c r="AH105" s="21">
        <v>43663</v>
      </c>
      <c r="AK105" t="s">
        <v>263</v>
      </c>
    </row>
    <row r="106" spans="1:38" x14ac:dyDescent="0.3">
      <c r="A106" t="s">
        <v>726</v>
      </c>
      <c r="B106" t="s">
        <v>45</v>
      </c>
      <c r="C106" t="s">
        <v>43</v>
      </c>
      <c r="D106" t="s">
        <v>727</v>
      </c>
      <c r="E106" t="s">
        <v>218</v>
      </c>
      <c r="G106" t="s">
        <v>95</v>
      </c>
      <c r="H106" s="1" t="s">
        <v>44</v>
      </c>
      <c r="I106" t="s">
        <v>44</v>
      </c>
      <c r="J106" s="11" t="s">
        <v>95</v>
      </c>
      <c r="L106" t="s">
        <v>44</v>
      </c>
      <c r="M106" t="s">
        <v>44</v>
      </c>
      <c r="P106" t="s">
        <v>728</v>
      </c>
      <c r="Q106" t="s">
        <v>44</v>
      </c>
      <c r="R106" s="6" t="s">
        <v>1285</v>
      </c>
      <c r="T106" s="16" t="s">
        <v>44</v>
      </c>
      <c r="U106" t="s">
        <v>44</v>
      </c>
      <c r="V106" t="s">
        <v>44</v>
      </c>
      <c r="W106" s="16" t="s">
        <v>1286</v>
      </c>
      <c r="Y106" s="21">
        <v>43648</v>
      </c>
      <c r="Z106" s="22">
        <v>0.73550925925925925</v>
      </c>
      <c r="AA106" t="s">
        <v>6</v>
      </c>
      <c r="AB106" t="s">
        <v>198</v>
      </c>
      <c r="AC106" t="s">
        <v>66</v>
      </c>
      <c r="AD106" s="21">
        <v>43684</v>
      </c>
      <c r="AE106" t="s">
        <v>44</v>
      </c>
      <c r="AF106" t="s">
        <v>44</v>
      </c>
      <c r="AG106" t="s">
        <v>44</v>
      </c>
      <c r="AH106" s="21">
        <v>43697</v>
      </c>
      <c r="AK106" t="s">
        <v>248</v>
      </c>
      <c r="AL106" t="s">
        <v>1287</v>
      </c>
    </row>
    <row r="107" spans="1:38" x14ac:dyDescent="0.3">
      <c r="A107" s="20" t="s">
        <v>1217</v>
      </c>
      <c r="B107" t="s">
        <v>45</v>
      </c>
      <c r="C107" t="s">
        <v>43</v>
      </c>
      <c r="D107" s="26" t="s">
        <v>732</v>
      </c>
      <c r="E107" s="26" t="s">
        <v>1183</v>
      </c>
      <c r="F107" t="s">
        <v>44</v>
      </c>
      <c r="I107" t="s">
        <v>44</v>
      </c>
      <c r="J107" s="11">
        <v>0</v>
      </c>
      <c r="L107" t="s">
        <v>44</v>
      </c>
      <c r="N107" t="s">
        <v>44</v>
      </c>
      <c r="P107" t="s">
        <v>733</v>
      </c>
      <c r="Q107" t="s">
        <v>44</v>
      </c>
      <c r="R107" s="26" t="s">
        <v>1211</v>
      </c>
      <c r="S107" t="s">
        <v>44</v>
      </c>
      <c r="U107" t="s">
        <v>44</v>
      </c>
      <c r="V107" t="s">
        <v>44</v>
      </c>
      <c r="W107" s="16" t="s">
        <v>734</v>
      </c>
      <c r="Y107" s="21">
        <v>43671</v>
      </c>
      <c r="Z107" s="26" t="s">
        <v>1212</v>
      </c>
      <c r="AA107" s="21"/>
      <c r="AB107" t="s">
        <v>44</v>
      </c>
      <c r="AC107" s="22" t="s">
        <v>66</v>
      </c>
      <c r="AD107" s="21">
        <v>43671</v>
      </c>
      <c r="AE107" s="21"/>
      <c r="AF107" t="s">
        <v>44</v>
      </c>
      <c r="AG107" t="s">
        <v>44</v>
      </c>
      <c r="AH107" s="21"/>
      <c r="AK107" t="s">
        <v>263</v>
      </c>
    </row>
    <row r="108" spans="1:38" x14ac:dyDescent="0.3">
      <c r="A108" t="s">
        <v>736</v>
      </c>
      <c r="B108" t="s">
        <v>45</v>
      </c>
      <c r="C108" t="s">
        <v>43</v>
      </c>
      <c r="D108" t="s">
        <v>737</v>
      </c>
      <c r="E108" t="s">
        <v>44</v>
      </c>
      <c r="F108" t="s">
        <v>44</v>
      </c>
      <c r="G108" t="s">
        <v>44</v>
      </c>
      <c r="H108" s="1" t="s">
        <v>44</v>
      </c>
      <c r="I108" t="s">
        <v>44</v>
      </c>
      <c r="J108" s="11" t="s">
        <v>82</v>
      </c>
      <c r="K108" t="s">
        <v>44</v>
      </c>
      <c r="L108" t="s">
        <v>44</v>
      </c>
      <c r="M108" t="s">
        <v>44</v>
      </c>
      <c r="N108" t="s">
        <v>44</v>
      </c>
      <c r="P108" t="s">
        <v>738</v>
      </c>
      <c r="Q108" t="s">
        <v>44</v>
      </c>
      <c r="R108" s="6" t="s">
        <v>44</v>
      </c>
      <c r="T108" s="16" t="s">
        <v>44</v>
      </c>
      <c r="U108" t="s">
        <v>44</v>
      </c>
      <c r="V108" t="s">
        <v>44</v>
      </c>
      <c r="W108" s="16" t="s">
        <v>739</v>
      </c>
      <c r="Y108" s="21">
        <v>43649</v>
      </c>
      <c r="Z108" s="22">
        <v>0.73111111111111116</v>
      </c>
      <c r="AA108" t="s">
        <v>44</v>
      </c>
      <c r="AB108" t="s">
        <v>44</v>
      </c>
      <c r="AC108" t="s">
        <v>66</v>
      </c>
      <c r="AD108" t="s">
        <v>735</v>
      </c>
      <c r="AE108" t="s">
        <v>44</v>
      </c>
      <c r="AF108" t="s">
        <v>44</v>
      </c>
      <c r="AG108" t="s">
        <v>44</v>
      </c>
      <c r="AH108" s="21">
        <v>43650</v>
      </c>
      <c r="AK108" t="s">
        <v>248</v>
      </c>
    </row>
    <row r="109" spans="1:38" x14ac:dyDescent="0.3">
      <c r="A109" t="s">
        <v>740</v>
      </c>
      <c r="B109" t="s">
        <v>741</v>
      </c>
      <c r="C109" t="s">
        <v>43</v>
      </c>
      <c r="D109" t="s">
        <v>742</v>
      </c>
      <c r="E109" t="s">
        <v>44</v>
      </c>
      <c r="F109" t="s">
        <v>44</v>
      </c>
      <c r="G109" t="s">
        <v>44</v>
      </c>
      <c r="H109" s="1" t="s">
        <v>44</v>
      </c>
      <c r="I109" t="s">
        <v>44</v>
      </c>
      <c r="J109" s="11" t="s">
        <v>82</v>
      </c>
      <c r="K109" t="s">
        <v>44</v>
      </c>
      <c r="L109" t="s">
        <v>44</v>
      </c>
      <c r="M109" t="s">
        <v>44</v>
      </c>
      <c r="N109" t="s">
        <v>44</v>
      </c>
      <c r="P109" t="s">
        <v>743</v>
      </c>
      <c r="Q109" t="s">
        <v>44</v>
      </c>
      <c r="R109" s="6" t="s">
        <v>44</v>
      </c>
      <c r="T109" s="16" t="s">
        <v>44</v>
      </c>
      <c r="U109" t="s">
        <v>44</v>
      </c>
      <c r="V109" t="s">
        <v>44</v>
      </c>
      <c r="W109" s="16" t="s">
        <v>744</v>
      </c>
      <c r="Y109" s="21">
        <v>43649</v>
      </c>
      <c r="Z109" s="22">
        <v>0.73325231481481479</v>
      </c>
      <c r="AA109" t="s">
        <v>44</v>
      </c>
      <c r="AB109" t="s">
        <v>44</v>
      </c>
      <c r="AC109" t="s">
        <v>66</v>
      </c>
      <c r="AD109" t="s">
        <v>735</v>
      </c>
      <c r="AE109" t="s">
        <v>44</v>
      </c>
      <c r="AF109" t="s">
        <v>44</v>
      </c>
      <c r="AG109" t="s">
        <v>44</v>
      </c>
      <c r="AH109" s="21">
        <v>43664</v>
      </c>
      <c r="AK109" t="s">
        <v>263</v>
      </c>
    </row>
    <row r="110" spans="1:38" x14ac:dyDescent="0.3">
      <c r="A110" t="s">
        <v>745</v>
      </c>
      <c r="B110" t="s">
        <v>45</v>
      </c>
      <c r="C110" t="s">
        <v>43</v>
      </c>
      <c r="D110" t="s">
        <v>746</v>
      </c>
      <c r="E110" t="s">
        <v>747</v>
      </c>
      <c r="F110" t="s">
        <v>47</v>
      </c>
      <c r="G110" t="s">
        <v>748</v>
      </c>
      <c r="H110" s="1" t="s">
        <v>44</v>
      </c>
      <c r="I110" t="s">
        <v>44</v>
      </c>
      <c r="J110" s="11" t="s">
        <v>82</v>
      </c>
      <c r="L110" t="s">
        <v>44</v>
      </c>
      <c r="M110" t="s">
        <v>44</v>
      </c>
      <c r="P110" t="s">
        <v>749</v>
      </c>
      <c r="Q110" t="s">
        <v>44</v>
      </c>
      <c r="R110" s="6" t="s">
        <v>44</v>
      </c>
      <c r="T110" s="16" t="s">
        <v>775</v>
      </c>
      <c r="U110" t="s">
        <v>44</v>
      </c>
      <c r="V110" t="s">
        <v>776</v>
      </c>
      <c r="W110" s="16" t="s">
        <v>805</v>
      </c>
      <c r="Y110" s="21">
        <v>43650</v>
      </c>
      <c r="Z110" s="22">
        <v>0.62497685185185181</v>
      </c>
      <c r="AB110" t="s">
        <v>44</v>
      </c>
      <c r="AC110" t="s">
        <v>137</v>
      </c>
      <c r="AD110" s="21">
        <v>43657</v>
      </c>
      <c r="AE110" t="s">
        <v>44</v>
      </c>
      <c r="AF110" t="s">
        <v>44</v>
      </c>
      <c r="AG110" t="s">
        <v>44</v>
      </c>
      <c r="AH110" s="21">
        <v>43671</v>
      </c>
      <c r="AK110" t="s">
        <v>248</v>
      </c>
      <c r="AL110" t="s">
        <v>806</v>
      </c>
    </row>
    <row r="111" spans="1:38" x14ac:dyDescent="0.3">
      <c r="A111" t="s">
        <v>750</v>
      </c>
      <c r="B111" t="s">
        <v>45</v>
      </c>
      <c r="C111" t="s">
        <v>43</v>
      </c>
      <c r="D111" t="s">
        <v>751</v>
      </c>
      <c r="E111" t="s">
        <v>1304</v>
      </c>
      <c r="G111" t="s">
        <v>44</v>
      </c>
      <c r="H111" s="1" t="s">
        <v>44</v>
      </c>
      <c r="I111" t="s">
        <v>44</v>
      </c>
      <c r="J111" s="11" t="s">
        <v>82</v>
      </c>
      <c r="L111" t="s">
        <v>44</v>
      </c>
      <c r="M111" t="s">
        <v>44</v>
      </c>
      <c r="P111" t="s">
        <v>752</v>
      </c>
      <c r="Q111" t="s">
        <v>44</v>
      </c>
      <c r="R111" s="6" t="s">
        <v>753</v>
      </c>
      <c r="T111" s="16" t="s">
        <v>44</v>
      </c>
      <c r="U111" t="s">
        <v>44</v>
      </c>
      <c r="V111" t="s">
        <v>754</v>
      </c>
      <c r="W111" s="16" t="s">
        <v>755</v>
      </c>
      <c r="Y111" s="21">
        <v>43650</v>
      </c>
      <c r="Z111" s="22">
        <v>0.68462962962962959</v>
      </c>
      <c r="AB111" t="s">
        <v>44</v>
      </c>
      <c r="AC111" t="s">
        <v>137</v>
      </c>
      <c r="AD111" s="21">
        <v>43691</v>
      </c>
      <c r="AE111" t="s">
        <v>44</v>
      </c>
      <c r="AF111" t="s">
        <v>44</v>
      </c>
      <c r="AG111" t="s">
        <v>44</v>
      </c>
      <c r="AH111" s="21">
        <v>43665</v>
      </c>
      <c r="AK111" t="s">
        <v>248</v>
      </c>
      <c r="AL111" t="s">
        <v>1305</v>
      </c>
    </row>
    <row r="112" spans="1:38" x14ac:dyDescent="0.3">
      <c r="A112" t="s">
        <v>756</v>
      </c>
      <c r="B112" t="s">
        <v>161</v>
      </c>
      <c r="C112" t="s">
        <v>43</v>
      </c>
      <c r="D112" t="s">
        <v>757</v>
      </c>
      <c r="E112" t="s">
        <v>44</v>
      </c>
      <c r="G112" t="s">
        <v>44</v>
      </c>
      <c r="H112" s="1" t="s">
        <v>44</v>
      </c>
      <c r="I112" t="s">
        <v>44</v>
      </c>
      <c r="J112" s="11" t="s">
        <v>82</v>
      </c>
      <c r="L112" t="s">
        <v>44</v>
      </c>
      <c r="M112" t="s">
        <v>44</v>
      </c>
      <c r="P112" t="s">
        <v>767</v>
      </c>
      <c r="Q112" t="s">
        <v>44</v>
      </c>
      <c r="R112" s="6" t="s">
        <v>44</v>
      </c>
      <c r="T112" s="16" t="s">
        <v>44</v>
      </c>
      <c r="U112" t="s">
        <v>44</v>
      </c>
      <c r="V112" t="s">
        <v>44</v>
      </c>
      <c r="W112" s="16" t="s">
        <v>768</v>
      </c>
      <c r="Y112" s="21">
        <v>43655</v>
      </c>
      <c r="Z112" s="22">
        <v>0.61890046296296297</v>
      </c>
      <c r="AB112" t="s">
        <v>44</v>
      </c>
      <c r="AC112" t="s">
        <v>66</v>
      </c>
      <c r="AD112" s="21">
        <v>43656</v>
      </c>
      <c r="AE112" t="s">
        <v>44</v>
      </c>
      <c r="AF112" t="s">
        <v>44</v>
      </c>
      <c r="AG112" t="s">
        <v>44</v>
      </c>
      <c r="AH112" s="21">
        <v>43657</v>
      </c>
      <c r="AK112" t="s">
        <v>248</v>
      </c>
      <c r="AL112" t="s">
        <v>769</v>
      </c>
    </row>
    <row r="113" spans="1:38" x14ac:dyDescent="0.3">
      <c r="A113" t="s">
        <v>759</v>
      </c>
      <c r="B113" t="s">
        <v>161</v>
      </c>
      <c r="C113" t="s">
        <v>43</v>
      </c>
      <c r="D113" t="s">
        <v>760</v>
      </c>
      <c r="E113" t="s">
        <v>770</v>
      </c>
      <c r="G113" t="s">
        <v>44</v>
      </c>
      <c r="H113" s="1" t="s">
        <v>44</v>
      </c>
      <c r="I113" t="s">
        <v>44</v>
      </c>
      <c r="J113" s="11" t="s">
        <v>82</v>
      </c>
      <c r="L113" t="s">
        <v>44</v>
      </c>
      <c r="M113" t="s">
        <v>44</v>
      </c>
      <c r="P113" t="s">
        <v>771</v>
      </c>
      <c r="Q113" t="s">
        <v>44</v>
      </c>
      <c r="R113" s="6" t="s">
        <v>44</v>
      </c>
      <c r="T113" s="16" t="s">
        <v>772</v>
      </c>
      <c r="U113" t="s">
        <v>44</v>
      </c>
      <c r="V113" t="s">
        <v>44</v>
      </c>
      <c r="W113" s="16" t="s">
        <v>773</v>
      </c>
      <c r="Y113" s="21">
        <v>43655</v>
      </c>
      <c r="Z113" s="22">
        <v>0.62172453703703701</v>
      </c>
      <c r="AB113" t="s">
        <v>44</v>
      </c>
      <c r="AC113" t="s">
        <v>66</v>
      </c>
      <c r="AD113" s="21">
        <v>43656</v>
      </c>
      <c r="AE113" t="s">
        <v>44</v>
      </c>
      <c r="AF113" t="s">
        <v>44</v>
      </c>
      <c r="AG113" t="s">
        <v>44</v>
      </c>
      <c r="AH113" s="21">
        <v>43657</v>
      </c>
      <c r="AK113" t="s">
        <v>248</v>
      </c>
      <c r="AL113" t="s">
        <v>774</v>
      </c>
    </row>
    <row r="114" spans="1:38" x14ac:dyDescent="0.3">
      <c r="A114" t="s">
        <v>761</v>
      </c>
      <c r="B114" t="s">
        <v>161</v>
      </c>
      <c r="C114" t="s">
        <v>43</v>
      </c>
      <c r="D114" t="s">
        <v>762</v>
      </c>
      <c r="E114" t="s">
        <v>763</v>
      </c>
      <c r="F114" t="s">
        <v>44</v>
      </c>
      <c r="G114" t="s">
        <v>44</v>
      </c>
      <c r="H114" s="1" t="s">
        <v>44</v>
      </c>
      <c r="I114" t="s">
        <v>44</v>
      </c>
      <c r="J114" s="11" t="s">
        <v>82</v>
      </c>
      <c r="K114" t="s">
        <v>44</v>
      </c>
      <c r="L114" t="s">
        <v>44</v>
      </c>
      <c r="M114" t="s">
        <v>44</v>
      </c>
      <c r="N114" t="s">
        <v>44</v>
      </c>
      <c r="P114" t="s">
        <v>764</v>
      </c>
      <c r="Q114" t="s">
        <v>44</v>
      </c>
      <c r="R114" s="6" t="s">
        <v>765</v>
      </c>
      <c r="T114" s="16" t="s">
        <v>44</v>
      </c>
      <c r="U114" t="s">
        <v>44</v>
      </c>
      <c r="V114" t="s">
        <v>44</v>
      </c>
      <c r="W114" s="16" t="s">
        <v>766</v>
      </c>
      <c r="Y114" s="21">
        <v>43655</v>
      </c>
      <c r="Z114" s="22">
        <v>0.62415509259259261</v>
      </c>
      <c r="AA114" t="s">
        <v>44</v>
      </c>
      <c r="AB114" t="s">
        <v>44</v>
      </c>
      <c r="AC114" t="s">
        <v>66</v>
      </c>
      <c r="AD114" t="s">
        <v>758</v>
      </c>
      <c r="AE114" t="s">
        <v>44</v>
      </c>
      <c r="AF114" t="s">
        <v>44</v>
      </c>
      <c r="AG114" t="s">
        <v>44</v>
      </c>
      <c r="AH114" s="21">
        <v>43656</v>
      </c>
      <c r="AK114" t="s">
        <v>263</v>
      </c>
    </row>
    <row r="115" spans="1:38" x14ac:dyDescent="0.3">
      <c r="A115" t="s">
        <v>807</v>
      </c>
      <c r="B115" t="s">
        <v>42</v>
      </c>
      <c r="C115" t="s">
        <v>43</v>
      </c>
      <c r="D115" t="s">
        <v>808</v>
      </c>
      <c r="E115" t="s">
        <v>809</v>
      </c>
      <c r="F115" t="s">
        <v>199</v>
      </c>
      <c r="G115" t="s">
        <v>44</v>
      </c>
      <c r="H115" s="1" t="s">
        <v>44</v>
      </c>
      <c r="I115" t="s">
        <v>44</v>
      </c>
      <c r="J115" s="11" t="s">
        <v>82</v>
      </c>
      <c r="K115" t="s">
        <v>44</v>
      </c>
      <c r="L115" t="s">
        <v>44</v>
      </c>
      <c r="M115" t="s">
        <v>44</v>
      </c>
      <c r="N115" t="s">
        <v>44</v>
      </c>
      <c r="P115" t="s">
        <v>810</v>
      </c>
      <c r="Q115" t="s">
        <v>44</v>
      </c>
      <c r="R115" s="6" t="s">
        <v>44</v>
      </c>
      <c r="T115" s="16" t="s">
        <v>44</v>
      </c>
      <c r="U115" t="s">
        <v>44</v>
      </c>
      <c r="V115" t="s">
        <v>44</v>
      </c>
      <c r="W115" s="16" t="s">
        <v>811</v>
      </c>
      <c r="Y115" s="21">
        <v>43658</v>
      </c>
      <c r="Z115" s="22">
        <v>0.49208333333333337</v>
      </c>
      <c r="AA115" t="s">
        <v>44</v>
      </c>
      <c r="AB115" t="s">
        <v>44</v>
      </c>
      <c r="AC115" t="s">
        <v>54</v>
      </c>
      <c r="AD115" t="s">
        <v>812</v>
      </c>
      <c r="AE115" t="s">
        <v>44</v>
      </c>
      <c r="AF115" t="s">
        <v>44</v>
      </c>
      <c r="AG115" t="s">
        <v>44</v>
      </c>
      <c r="AH115" s="21">
        <v>43658</v>
      </c>
      <c r="AK115" t="s">
        <v>248</v>
      </c>
    </row>
    <row r="116" spans="1:38" x14ac:dyDescent="0.3">
      <c r="A116" t="s">
        <v>813</v>
      </c>
      <c r="B116" t="s">
        <v>45</v>
      </c>
      <c r="C116" t="s">
        <v>43</v>
      </c>
      <c r="D116" t="s">
        <v>814</v>
      </c>
      <c r="E116" t="s">
        <v>815</v>
      </c>
      <c r="F116" t="s">
        <v>44</v>
      </c>
      <c r="G116" t="s">
        <v>44</v>
      </c>
      <c r="H116" s="1" t="s">
        <v>44</v>
      </c>
      <c r="I116" t="s">
        <v>44</v>
      </c>
      <c r="J116" s="11" t="s">
        <v>82</v>
      </c>
      <c r="K116" t="s">
        <v>44</v>
      </c>
      <c r="L116" t="s">
        <v>44</v>
      </c>
      <c r="M116" t="s">
        <v>44</v>
      </c>
      <c r="N116" t="s">
        <v>44</v>
      </c>
      <c r="P116" t="s">
        <v>816</v>
      </c>
      <c r="Q116" t="s">
        <v>44</v>
      </c>
      <c r="R116" s="6" t="s">
        <v>44</v>
      </c>
      <c r="T116" s="16" t="s">
        <v>44</v>
      </c>
      <c r="U116" t="s">
        <v>44</v>
      </c>
      <c r="V116" t="s">
        <v>44</v>
      </c>
      <c r="W116" s="16" t="s">
        <v>44</v>
      </c>
      <c r="Y116" s="21">
        <v>43658</v>
      </c>
      <c r="Z116" s="22">
        <v>0.65400462962962969</v>
      </c>
      <c r="AA116" t="s">
        <v>44</v>
      </c>
      <c r="AB116" t="s">
        <v>44</v>
      </c>
      <c r="AC116" t="s">
        <v>66</v>
      </c>
      <c r="AD116" t="s">
        <v>812</v>
      </c>
      <c r="AE116" t="s">
        <v>44</v>
      </c>
      <c r="AF116" t="s">
        <v>44</v>
      </c>
      <c r="AG116" t="s">
        <v>44</v>
      </c>
      <c r="AH116" s="21">
        <v>43661</v>
      </c>
      <c r="AK116" t="s">
        <v>248</v>
      </c>
    </row>
    <row r="117" spans="1:38" x14ac:dyDescent="0.3">
      <c r="A117" t="s">
        <v>817</v>
      </c>
      <c r="B117" t="s">
        <v>45</v>
      </c>
      <c r="C117" t="s">
        <v>43</v>
      </c>
      <c r="D117" t="s">
        <v>818</v>
      </c>
      <c r="E117" t="s">
        <v>81</v>
      </c>
      <c r="F117" t="s">
        <v>44</v>
      </c>
      <c r="G117" t="s">
        <v>44</v>
      </c>
      <c r="H117" s="1" t="s">
        <v>44</v>
      </c>
      <c r="I117" t="s">
        <v>44</v>
      </c>
      <c r="J117" s="11" t="s">
        <v>82</v>
      </c>
      <c r="K117" t="s">
        <v>44</v>
      </c>
      <c r="L117" t="s">
        <v>44</v>
      </c>
      <c r="M117" t="s">
        <v>44</v>
      </c>
      <c r="N117" t="s">
        <v>44</v>
      </c>
      <c r="P117" t="s">
        <v>819</v>
      </c>
      <c r="Q117" t="s">
        <v>44</v>
      </c>
      <c r="R117" s="6" t="s">
        <v>820</v>
      </c>
      <c r="T117" s="16" t="s">
        <v>44</v>
      </c>
      <c r="U117" t="s">
        <v>44</v>
      </c>
      <c r="V117" t="s">
        <v>44</v>
      </c>
      <c r="W117" s="16" t="s">
        <v>821</v>
      </c>
      <c r="Y117" s="21">
        <v>43658</v>
      </c>
      <c r="Z117" s="22">
        <v>0.65650462962962963</v>
      </c>
      <c r="AA117" t="s">
        <v>44</v>
      </c>
      <c r="AB117" t="s">
        <v>44</v>
      </c>
      <c r="AC117" t="s">
        <v>66</v>
      </c>
      <c r="AD117" t="s">
        <v>812</v>
      </c>
      <c r="AE117" t="s">
        <v>44</v>
      </c>
      <c r="AF117" t="s">
        <v>44</v>
      </c>
      <c r="AG117" t="s">
        <v>44</v>
      </c>
      <c r="AH117" s="21">
        <v>43673</v>
      </c>
      <c r="AK117" t="s">
        <v>263</v>
      </c>
    </row>
    <row r="118" spans="1:38" x14ac:dyDescent="0.3">
      <c r="A118" t="s">
        <v>822</v>
      </c>
      <c r="B118" t="s">
        <v>42</v>
      </c>
      <c r="C118" t="s">
        <v>43</v>
      </c>
      <c r="D118" t="s">
        <v>823</v>
      </c>
      <c r="E118" t="s">
        <v>824</v>
      </c>
      <c r="F118" t="s">
        <v>47</v>
      </c>
      <c r="G118" t="s">
        <v>44</v>
      </c>
      <c r="H118" s="1" t="s">
        <v>44</v>
      </c>
      <c r="I118" t="s">
        <v>44</v>
      </c>
      <c r="J118" s="11" t="s">
        <v>82</v>
      </c>
      <c r="K118" t="s">
        <v>44</v>
      </c>
      <c r="L118" t="s">
        <v>44</v>
      </c>
      <c r="M118" t="s">
        <v>44</v>
      </c>
      <c r="N118" t="s">
        <v>44</v>
      </c>
      <c r="P118" t="s">
        <v>825</v>
      </c>
      <c r="Q118" t="s">
        <v>44</v>
      </c>
      <c r="R118" s="6" t="s">
        <v>44</v>
      </c>
      <c r="T118" s="16" t="s">
        <v>44</v>
      </c>
      <c r="U118" t="s">
        <v>44</v>
      </c>
      <c r="V118" t="s">
        <v>44</v>
      </c>
      <c r="W118" s="16" t="s">
        <v>826</v>
      </c>
      <c r="Y118" s="21">
        <v>43658</v>
      </c>
      <c r="Z118" s="22">
        <v>0.66740740740740734</v>
      </c>
      <c r="AA118" t="s">
        <v>44</v>
      </c>
      <c r="AB118" t="s">
        <v>44</v>
      </c>
      <c r="AC118" t="s">
        <v>66</v>
      </c>
      <c r="AD118" t="s">
        <v>812</v>
      </c>
      <c r="AE118" t="s">
        <v>44</v>
      </c>
      <c r="AF118" t="s">
        <v>44</v>
      </c>
      <c r="AG118" t="s">
        <v>44</v>
      </c>
      <c r="AH118" s="21">
        <v>43661</v>
      </c>
      <c r="AK118" t="s">
        <v>248</v>
      </c>
    </row>
    <row r="119" spans="1:38" x14ac:dyDescent="0.3">
      <c r="A119" t="s">
        <v>827</v>
      </c>
      <c r="B119" t="s">
        <v>45</v>
      </c>
      <c r="C119" t="s">
        <v>43</v>
      </c>
      <c r="D119" t="s">
        <v>828</v>
      </c>
      <c r="E119" t="s">
        <v>729</v>
      </c>
      <c r="F119" t="s">
        <v>51</v>
      </c>
      <c r="G119" t="s">
        <v>44</v>
      </c>
      <c r="H119" s="1" t="s">
        <v>44</v>
      </c>
      <c r="I119" t="s">
        <v>44</v>
      </c>
      <c r="J119" s="11" t="s">
        <v>82</v>
      </c>
      <c r="K119" t="s">
        <v>44</v>
      </c>
      <c r="L119" t="s">
        <v>44</v>
      </c>
      <c r="M119" t="s">
        <v>44</v>
      </c>
      <c r="N119" t="s">
        <v>44</v>
      </c>
      <c r="P119" t="s">
        <v>44</v>
      </c>
      <c r="Q119" t="s">
        <v>44</v>
      </c>
      <c r="R119" s="6" t="s">
        <v>44</v>
      </c>
      <c r="T119" s="16" t="s">
        <v>44</v>
      </c>
      <c r="U119" t="s">
        <v>44</v>
      </c>
      <c r="V119" t="s">
        <v>44</v>
      </c>
      <c r="W119" s="16" t="s">
        <v>829</v>
      </c>
      <c r="Y119" s="21">
        <v>43658</v>
      </c>
      <c r="Z119" s="22">
        <v>0.66964120370370372</v>
      </c>
      <c r="AA119" t="s">
        <v>44</v>
      </c>
      <c r="AB119" t="s">
        <v>44</v>
      </c>
      <c r="AC119" t="s">
        <v>66</v>
      </c>
      <c r="AD119" t="s">
        <v>812</v>
      </c>
      <c r="AE119" t="s">
        <v>44</v>
      </c>
      <c r="AF119" t="s">
        <v>44</v>
      </c>
      <c r="AG119" t="s">
        <v>44</v>
      </c>
      <c r="AH119" s="21">
        <v>43673</v>
      </c>
      <c r="AK119" t="s">
        <v>263</v>
      </c>
    </row>
    <row r="120" spans="1:38" x14ac:dyDescent="0.3">
      <c r="A120" t="s">
        <v>830</v>
      </c>
      <c r="B120" t="s">
        <v>45</v>
      </c>
      <c r="C120" t="s">
        <v>43</v>
      </c>
      <c r="D120" t="s">
        <v>831</v>
      </c>
      <c r="E120" t="s">
        <v>203</v>
      </c>
      <c r="G120" t="s">
        <v>44</v>
      </c>
      <c r="H120" s="1" t="s">
        <v>44</v>
      </c>
      <c r="I120" t="s">
        <v>44</v>
      </c>
      <c r="J120" s="11" t="s">
        <v>832</v>
      </c>
      <c r="L120" t="s">
        <v>44</v>
      </c>
      <c r="M120" t="s">
        <v>44</v>
      </c>
      <c r="P120" t="s">
        <v>833</v>
      </c>
      <c r="Q120" t="s">
        <v>44</v>
      </c>
      <c r="R120" s="6" t="s">
        <v>834</v>
      </c>
      <c r="T120" s="16" t="s">
        <v>44</v>
      </c>
      <c r="U120" t="s">
        <v>44</v>
      </c>
      <c r="V120" t="s">
        <v>44</v>
      </c>
      <c r="W120" s="16" t="s">
        <v>835</v>
      </c>
      <c r="Y120" s="21">
        <v>43658</v>
      </c>
      <c r="Z120" s="22">
        <v>0.6737037037037038</v>
      </c>
      <c r="AB120" t="s">
        <v>44</v>
      </c>
      <c r="AC120" t="s">
        <v>66</v>
      </c>
      <c r="AD120" s="21">
        <v>43658</v>
      </c>
      <c r="AE120" t="s">
        <v>44</v>
      </c>
      <c r="AF120" t="s">
        <v>44</v>
      </c>
      <c r="AG120" t="s">
        <v>44</v>
      </c>
      <c r="AH120" s="21">
        <v>43661</v>
      </c>
      <c r="AK120" t="s">
        <v>248</v>
      </c>
      <c r="AL120" t="s">
        <v>836</v>
      </c>
    </row>
    <row r="121" spans="1:38" x14ac:dyDescent="0.3">
      <c r="A121" t="s">
        <v>837</v>
      </c>
      <c r="B121" t="s">
        <v>45</v>
      </c>
      <c r="C121" t="s">
        <v>43</v>
      </c>
      <c r="D121" t="s">
        <v>838</v>
      </c>
      <c r="E121" t="s">
        <v>839</v>
      </c>
      <c r="F121" t="s">
        <v>47</v>
      </c>
      <c r="G121" t="s">
        <v>840</v>
      </c>
      <c r="H121" s="1" t="s">
        <v>44</v>
      </c>
      <c r="I121" t="s">
        <v>44</v>
      </c>
      <c r="J121" s="11" t="s">
        <v>82</v>
      </c>
      <c r="L121" t="s">
        <v>44</v>
      </c>
      <c r="M121" t="s">
        <v>44</v>
      </c>
      <c r="P121" t="s">
        <v>841</v>
      </c>
      <c r="Q121" t="s">
        <v>44</v>
      </c>
      <c r="R121" s="6" t="s">
        <v>842</v>
      </c>
      <c r="T121" s="16" t="s">
        <v>44</v>
      </c>
      <c r="U121" t="s">
        <v>44</v>
      </c>
      <c r="V121" t="s">
        <v>44</v>
      </c>
      <c r="W121" s="16" t="s">
        <v>843</v>
      </c>
      <c r="Y121" s="21">
        <v>43661</v>
      </c>
      <c r="Z121" s="22">
        <v>0.43099537037037039</v>
      </c>
      <c r="AA121" t="s">
        <v>53</v>
      </c>
      <c r="AB121" t="s">
        <v>115</v>
      </c>
      <c r="AC121" t="s">
        <v>66</v>
      </c>
      <c r="AD121" s="21">
        <v>43661</v>
      </c>
      <c r="AE121" t="s">
        <v>44</v>
      </c>
      <c r="AF121" t="s">
        <v>44</v>
      </c>
      <c r="AG121" t="s">
        <v>44</v>
      </c>
      <c r="AH121" s="21">
        <v>43663</v>
      </c>
      <c r="AK121" t="s">
        <v>248</v>
      </c>
      <c r="AL121" t="s">
        <v>844</v>
      </c>
    </row>
    <row r="122" spans="1:38" x14ac:dyDescent="0.3">
      <c r="A122" t="s">
        <v>847</v>
      </c>
      <c r="B122" t="s">
        <v>42</v>
      </c>
      <c r="C122" t="s">
        <v>43</v>
      </c>
      <c r="D122" t="s">
        <v>848</v>
      </c>
      <c r="E122" t="s">
        <v>132</v>
      </c>
      <c r="F122" t="s">
        <v>47</v>
      </c>
      <c r="G122" t="s">
        <v>202</v>
      </c>
      <c r="H122" s="1" t="s">
        <v>44</v>
      </c>
      <c r="I122" t="s">
        <v>44</v>
      </c>
      <c r="J122" s="11" t="s">
        <v>129</v>
      </c>
      <c r="K122" t="s">
        <v>44</v>
      </c>
      <c r="L122" t="s">
        <v>44</v>
      </c>
      <c r="M122" t="s">
        <v>44</v>
      </c>
      <c r="N122" t="s">
        <v>44</v>
      </c>
      <c r="P122" t="s">
        <v>849</v>
      </c>
      <c r="Q122" t="s">
        <v>44</v>
      </c>
      <c r="R122" s="6" t="s">
        <v>850</v>
      </c>
      <c r="T122" s="16" t="s">
        <v>44</v>
      </c>
      <c r="U122" t="s">
        <v>44</v>
      </c>
      <c r="V122" t="s">
        <v>44</v>
      </c>
      <c r="W122" s="16" t="s">
        <v>851</v>
      </c>
      <c r="Y122" s="21">
        <v>43662</v>
      </c>
      <c r="Z122" s="22">
        <v>0.62586805555555558</v>
      </c>
      <c r="AA122" t="s">
        <v>53</v>
      </c>
      <c r="AB122" t="s">
        <v>852</v>
      </c>
      <c r="AC122" t="s">
        <v>66</v>
      </c>
      <c r="AD122" t="s">
        <v>853</v>
      </c>
      <c r="AE122" t="s">
        <v>44</v>
      </c>
      <c r="AF122" t="s">
        <v>44</v>
      </c>
      <c r="AG122" t="s">
        <v>44</v>
      </c>
      <c r="AH122" s="21">
        <v>43665</v>
      </c>
      <c r="AK122" t="s">
        <v>248</v>
      </c>
    </row>
    <row r="123" spans="1:38" x14ac:dyDescent="0.3">
      <c r="A123" t="s">
        <v>854</v>
      </c>
      <c r="B123" t="s">
        <v>42</v>
      </c>
      <c r="C123" t="s">
        <v>43</v>
      </c>
      <c r="D123" t="s">
        <v>855</v>
      </c>
      <c r="E123" t="s">
        <v>856</v>
      </c>
      <c r="F123" t="s">
        <v>51</v>
      </c>
      <c r="G123" t="s">
        <v>44</v>
      </c>
      <c r="H123" s="1" t="s">
        <v>44</v>
      </c>
      <c r="I123" t="s">
        <v>44</v>
      </c>
      <c r="J123" s="11" t="s">
        <v>82</v>
      </c>
      <c r="K123" t="s">
        <v>44</v>
      </c>
      <c r="L123" t="s">
        <v>44</v>
      </c>
      <c r="M123" t="s">
        <v>44</v>
      </c>
      <c r="N123" t="s">
        <v>44</v>
      </c>
      <c r="P123" t="s">
        <v>857</v>
      </c>
      <c r="Q123" t="s">
        <v>44</v>
      </c>
      <c r="R123" s="6" t="s">
        <v>44</v>
      </c>
      <c r="T123" s="16" t="s">
        <v>44</v>
      </c>
      <c r="U123" t="s">
        <v>44</v>
      </c>
      <c r="V123" t="s">
        <v>44</v>
      </c>
      <c r="W123" s="16" t="s">
        <v>858</v>
      </c>
      <c r="Y123" s="21">
        <v>43662</v>
      </c>
      <c r="Z123" s="22">
        <v>0.69118055555555558</v>
      </c>
      <c r="AA123" t="s">
        <v>44</v>
      </c>
      <c r="AB123" t="s">
        <v>44</v>
      </c>
      <c r="AC123" t="s">
        <v>66</v>
      </c>
      <c r="AD123" t="s">
        <v>853</v>
      </c>
      <c r="AE123" t="s">
        <v>44</v>
      </c>
      <c r="AF123" t="s">
        <v>44</v>
      </c>
      <c r="AG123" t="s">
        <v>44</v>
      </c>
      <c r="AH123" s="21">
        <v>43693</v>
      </c>
      <c r="AK123" t="s">
        <v>248</v>
      </c>
    </row>
    <row r="124" spans="1:38" x14ac:dyDescent="0.3">
      <c r="A124" t="s">
        <v>859</v>
      </c>
      <c r="B124" t="s">
        <v>45</v>
      </c>
      <c r="C124" t="s">
        <v>43</v>
      </c>
      <c r="D124" t="s">
        <v>860</v>
      </c>
      <c r="E124" t="s">
        <v>861</v>
      </c>
      <c r="F124" t="s">
        <v>51</v>
      </c>
      <c r="G124" t="s">
        <v>862</v>
      </c>
      <c r="H124" s="1" t="s">
        <v>44</v>
      </c>
      <c r="I124" t="s">
        <v>863</v>
      </c>
      <c r="J124" s="11" t="s">
        <v>82</v>
      </c>
      <c r="K124" t="s">
        <v>44</v>
      </c>
      <c r="L124" t="s">
        <v>44</v>
      </c>
      <c r="M124" t="s">
        <v>44</v>
      </c>
      <c r="N124" t="s">
        <v>44</v>
      </c>
      <c r="P124" t="s">
        <v>864</v>
      </c>
      <c r="Q124" t="s">
        <v>44</v>
      </c>
      <c r="R124" s="6" t="s">
        <v>865</v>
      </c>
      <c r="T124" s="16" t="s">
        <v>44</v>
      </c>
      <c r="U124" t="s">
        <v>44</v>
      </c>
      <c r="V124" t="s">
        <v>44</v>
      </c>
      <c r="W124" s="16" t="s">
        <v>866</v>
      </c>
      <c r="Y124" s="21">
        <v>43662</v>
      </c>
      <c r="Z124" s="22">
        <v>0.7015162037037036</v>
      </c>
      <c r="AA124" t="s">
        <v>6</v>
      </c>
      <c r="AB124" t="s">
        <v>44</v>
      </c>
      <c r="AC124" t="s">
        <v>54</v>
      </c>
      <c r="AD124" t="s">
        <v>853</v>
      </c>
      <c r="AE124" t="s">
        <v>44</v>
      </c>
      <c r="AF124" t="s">
        <v>44</v>
      </c>
      <c r="AG124" t="s">
        <v>44</v>
      </c>
      <c r="AH124" s="21">
        <v>43665</v>
      </c>
      <c r="AK124" t="s">
        <v>248</v>
      </c>
    </row>
    <row r="125" spans="1:38" x14ac:dyDescent="0.3">
      <c r="A125" t="s">
        <v>867</v>
      </c>
      <c r="B125" t="s">
        <v>161</v>
      </c>
      <c r="C125" t="s">
        <v>43</v>
      </c>
      <c r="D125" t="s">
        <v>868</v>
      </c>
      <c r="E125" t="s">
        <v>869</v>
      </c>
      <c r="F125" t="s">
        <v>44</v>
      </c>
      <c r="G125" t="s">
        <v>44</v>
      </c>
      <c r="H125" s="1" t="s">
        <v>44</v>
      </c>
      <c r="I125" t="s">
        <v>44</v>
      </c>
      <c r="J125" s="11" t="s">
        <v>82</v>
      </c>
      <c r="K125" t="s">
        <v>44</v>
      </c>
      <c r="L125" t="s">
        <v>44</v>
      </c>
      <c r="M125" t="s">
        <v>44</v>
      </c>
      <c r="N125" t="s">
        <v>44</v>
      </c>
      <c r="P125" t="s">
        <v>870</v>
      </c>
      <c r="Q125" t="s">
        <v>44</v>
      </c>
      <c r="R125" s="6" t="s">
        <v>871</v>
      </c>
      <c r="T125" s="16" t="s">
        <v>44</v>
      </c>
      <c r="U125" t="s">
        <v>44</v>
      </c>
      <c r="V125" t="s">
        <v>44</v>
      </c>
      <c r="W125" s="16" t="s">
        <v>872</v>
      </c>
      <c r="Y125" s="21">
        <v>43662</v>
      </c>
      <c r="Z125" s="22">
        <v>0.73006944444444455</v>
      </c>
      <c r="AA125" t="s">
        <v>44</v>
      </c>
      <c r="AB125" t="s">
        <v>44</v>
      </c>
      <c r="AC125" t="s">
        <v>54</v>
      </c>
      <c r="AD125" t="s">
        <v>853</v>
      </c>
      <c r="AE125" t="s">
        <v>44</v>
      </c>
      <c r="AF125" t="s">
        <v>44</v>
      </c>
      <c r="AG125" t="s">
        <v>44</v>
      </c>
      <c r="AH125" s="21">
        <v>43662</v>
      </c>
      <c r="AK125" t="s">
        <v>263</v>
      </c>
    </row>
    <row r="126" spans="1:38" x14ac:dyDescent="0.3">
      <c r="A126" t="s">
        <v>873</v>
      </c>
      <c r="B126" t="s">
        <v>45</v>
      </c>
      <c r="C126" t="s">
        <v>43</v>
      </c>
      <c r="D126" t="s">
        <v>874</v>
      </c>
      <c r="E126" t="s">
        <v>875</v>
      </c>
      <c r="F126" t="s">
        <v>44</v>
      </c>
      <c r="G126" t="s">
        <v>44</v>
      </c>
      <c r="H126" s="1" t="s">
        <v>44</v>
      </c>
      <c r="I126" t="s">
        <v>44</v>
      </c>
      <c r="J126" s="11" t="s">
        <v>82</v>
      </c>
      <c r="K126" t="s">
        <v>44</v>
      </c>
      <c r="L126" t="s">
        <v>44</v>
      </c>
      <c r="M126" t="s">
        <v>44</v>
      </c>
      <c r="N126" t="s">
        <v>44</v>
      </c>
      <c r="P126" t="s">
        <v>876</v>
      </c>
      <c r="Q126" t="s">
        <v>44</v>
      </c>
      <c r="R126" s="6" t="s">
        <v>877</v>
      </c>
      <c r="T126" s="16" t="s">
        <v>44</v>
      </c>
      <c r="U126" t="s">
        <v>44</v>
      </c>
      <c r="V126" t="s">
        <v>44</v>
      </c>
      <c r="W126" s="16" t="s">
        <v>878</v>
      </c>
      <c r="Y126" s="21">
        <v>43663</v>
      </c>
      <c r="Z126" s="22">
        <v>0.4261226851851852</v>
      </c>
      <c r="AA126" t="s">
        <v>44</v>
      </c>
      <c r="AB126" t="s">
        <v>44</v>
      </c>
      <c r="AC126" t="s">
        <v>66</v>
      </c>
      <c r="AD126" t="s">
        <v>879</v>
      </c>
      <c r="AE126" t="s">
        <v>44</v>
      </c>
      <c r="AF126" t="s">
        <v>44</v>
      </c>
      <c r="AG126" t="s">
        <v>44</v>
      </c>
      <c r="AH126" s="21">
        <v>43773</v>
      </c>
      <c r="AK126" t="s">
        <v>248</v>
      </c>
    </row>
    <row r="127" spans="1:38" x14ac:dyDescent="0.3">
      <c r="A127" t="s">
        <v>880</v>
      </c>
      <c r="B127" t="s">
        <v>45</v>
      </c>
      <c r="C127" t="s">
        <v>43</v>
      </c>
      <c r="D127" t="s">
        <v>881</v>
      </c>
      <c r="E127" t="s">
        <v>882</v>
      </c>
      <c r="F127" t="s">
        <v>51</v>
      </c>
      <c r="G127" t="s">
        <v>44</v>
      </c>
      <c r="H127" s="1" t="s">
        <v>44</v>
      </c>
      <c r="I127" t="s">
        <v>44</v>
      </c>
      <c r="J127" s="11" t="s">
        <v>82</v>
      </c>
      <c r="K127" t="s">
        <v>44</v>
      </c>
      <c r="L127" t="s">
        <v>44</v>
      </c>
      <c r="M127" t="s">
        <v>44</v>
      </c>
      <c r="N127" t="s">
        <v>44</v>
      </c>
      <c r="P127" t="s">
        <v>883</v>
      </c>
      <c r="Q127" t="s">
        <v>44</v>
      </c>
      <c r="R127" s="6" t="s">
        <v>44</v>
      </c>
      <c r="T127" s="16" t="s">
        <v>44</v>
      </c>
      <c r="U127" t="s">
        <v>44</v>
      </c>
      <c r="V127" t="s">
        <v>44</v>
      </c>
      <c r="W127" s="16" t="s">
        <v>884</v>
      </c>
      <c r="Y127" s="21">
        <v>43663</v>
      </c>
      <c r="Z127" s="22">
        <v>0.42856481481481484</v>
      </c>
      <c r="AA127" t="s">
        <v>44</v>
      </c>
      <c r="AB127" t="s">
        <v>44</v>
      </c>
      <c r="AC127" t="s">
        <v>66</v>
      </c>
      <c r="AD127" t="s">
        <v>879</v>
      </c>
      <c r="AE127" t="s">
        <v>44</v>
      </c>
      <c r="AF127" t="s">
        <v>44</v>
      </c>
      <c r="AG127" t="s">
        <v>44</v>
      </c>
      <c r="AH127" s="21">
        <v>43773</v>
      </c>
      <c r="AK127" t="s">
        <v>248</v>
      </c>
    </row>
    <row r="128" spans="1:38" x14ac:dyDescent="0.3">
      <c r="A128" t="s">
        <v>885</v>
      </c>
      <c r="B128" t="s">
        <v>45</v>
      </c>
      <c r="C128" t="s">
        <v>43</v>
      </c>
      <c r="D128" t="s">
        <v>886</v>
      </c>
      <c r="E128" t="s">
        <v>887</v>
      </c>
      <c r="F128" t="s">
        <v>44</v>
      </c>
      <c r="G128" t="s">
        <v>44</v>
      </c>
      <c r="H128" s="1" t="s">
        <v>44</v>
      </c>
      <c r="I128" t="s">
        <v>44</v>
      </c>
      <c r="J128" s="11" t="s">
        <v>82</v>
      </c>
      <c r="K128" t="s">
        <v>44</v>
      </c>
      <c r="L128" t="s">
        <v>44</v>
      </c>
      <c r="M128" t="s">
        <v>44</v>
      </c>
      <c r="N128" t="s">
        <v>44</v>
      </c>
      <c r="P128" t="s">
        <v>888</v>
      </c>
      <c r="Q128" t="s">
        <v>44</v>
      </c>
      <c r="R128" s="6" t="s">
        <v>889</v>
      </c>
      <c r="T128" s="16" t="s">
        <v>44</v>
      </c>
      <c r="U128" t="s">
        <v>44</v>
      </c>
      <c r="V128" t="s">
        <v>44</v>
      </c>
      <c r="W128" s="16" t="s">
        <v>890</v>
      </c>
      <c r="Y128" s="21">
        <v>43663</v>
      </c>
      <c r="Z128" s="22">
        <v>0.43045138888888884</v>
      </c>
      <c r="AA128" t="s">
        <v>44</v>
      </c>
      <c r="AB128" t="s">
        <v>44</v>
      </c>
      <c r="AC128" t="s">
        <v>66</v>
      </c>
      <c r="AD128" t="s">
        <v>879</v>
      </c>
      <c r="AE128" t="s">
        <v>44</v>
      </c>
      <c r="AF128" t="s">
        <v>44</v>
      </c>
      <c r="AG128" t="s">
        <v>44</v>
      </c>
      <c r="AH128" s="21">
        <v>43668</v>
      </c>
      <c r="AK128" t="s">
        <v>248</v>
      </c>
    </row>
    <row r="129" spans="1:38" x14ac:dyDescent="0.3">
      <c r="A129" t="s">
        <v>891</v>
      </c>
      <c r="B129" t="s">
        <v>45</v>
      </c>
      <c r="C129" t="s">
        <v>43</v>
      </c>
      <c r="D129" t="s">
        <v>892</v>
      </c>
      <c r="E129" t="s">
        <v>893</v>
      </c>
      <c r="F129" t="s">
        <v>44</v>
      </c>
      <c r="G129" t="s">
        <v>44</v>
      </c>
      <c r="H129" s="1" t="s">
        <v>44</v>
      </c>
      <c r="I129" t="s">
        <v>44</v>
      </c>
      <c r="J129" s="11" t="s">
        <v>82</v>
      </c>
      <c r="K129" t="s">
        <v>44</v>
      </c>
      <c r="L129" t="s">
        <v>44</v>
      </c>
      <c r="M129" t="s">
        <v>44</v>
      </c>
      <c r="N129" t="s">
        <v>44</v>
      </c>
      <c r="P129" t="s">
        <v>894</v>
      </c>
      <c r="Q129" t="s">
        <v>44</v>
      </c>
      <c r="R129" s="6" t="s">
        <v>895</v>
      </c>
      <c r="T129" s="16" t="s">
        <v>44</v>
      </c>
      <c r="U129" t="s">
        <v>44</v>
      </c>
      <c r="V129" t="s">
        <v>44</v>
      </c>
      <c r="W129" s="16" t="s">
        <v>896</v>
      </c>
      <c r="Y129" s="21">
        <v>43663</v>
      </c>
      <c r="Z129" s="22">
        <v>0.43464120370370374</v>
      </c>
      <c r="AA129" t="s">
        <v>44</v>
      </c>
      <c r="AB129" t="s">
        <v>44</v>
      </c>
      <c r="AC129" t="s">
        <v>66</v>
      </c>
      <c r="AD129" t="s">
        <v>879</v>
      </c>
      <c r="AE129" t="s">
        <v>44</v>
      </c>
      <c r="AF129" t="s">
        <v>44</v>
      </c>
      <c r="AG129" t="s">
        <v>44</v>
      </c>
      <c r="AH129" s="21">
        <v>43663</v>
      </c>
      <c r="AK129" t="s">
        <v>263</v>
      </c>
    </row>
    <row r="130" spans="1:38" x14ac:dyDescent="0.3">
      <c r="A130" t="s">
        <v>897</v>
      </c>
      <c r="B130" t="s">
        <v>45</v>
      </c>
      <c r="C130" t="s">
        <v>43</v>
      </c>
      <c r="D130" t="s">
        <v>898</v>
      </c>
      <c r="E130" t="s">
        <v>511</v>
      </c>
      <c r="F130" t="s">
        <v>913</v>
      </c>
      <c r="G130" t="s">
        <v>44</v>
      </c>
      <c r="H130" s="1" t="s">
        <v>44</v>
      </c>
      <c r="I130" t="s">
        <v>44</v>
      </c>
      <c r="J130" s="11" t="s">
        <v>82</v>
      </c>
      <c r="L130" t="s">
        <v>44</v>
      </c>
      <c r="M130" t="s">
        <v>44</v>
      </c>
      <c r="P130" t="s">
        <v>899</v>
      </c>
      <c r="Q130" t="s">
        <v>44</v>
      </c>
      <c r="R130" s="6" t="s">
        <v>44</v>
      </c>
      <c r="T130" s="16" t="s">
        <v>44</v>
      </c>
      <c r="U130" t="s">
        <v>44</v>
      </c>
      <c r="V130" t="s">
        <v>44</v>
      </c>
      <c r="W130" s="16" t="s">
        <v>914</v>
      </c>
      <c r="Y130" s="21">
        <v>43663</v>
      </c>
      <c r="Z130" s="22">
        <v>0.44002314814814819</v>
      </c>
      <c r="AB130" t="s">
        <v>44</v>
      </c>
      <c r="AC130" t="s">
        <v>66</v>
      </c>
      <c r="AD130" s="21">
        <v>43664</v>
      </c>
      <c r="AE130" t="s">
        <v>44</v>
      </c>
      <c r="AF130" t="s">
        <v>44</v>
      </c>
      <c r="AG130" t="s">
        <v>44</v>
      </c>
      <c r="AH130" s="21">
        <v>43663</v>
      </c>
      <c r="AK130" t="s">
        <v>248</v>
      </c>
      <c r="AL130" t="s">
        <v>915</v>
      </c>
    </row>
    <row r="131" spans="1:38" x14ac:dyDescent="0.3">
      <c r="A131" t="s">
        <v>900</v>
      </c>
      <c r="B131" t="s">
        <v>45</v>
      </c>
      <c r="C131" t="s">
        <v>43</v>
      </c>
      <c r="D131" t="s">
        <v>901</v>
      </c>
      <c r="E131" t="s">
        <v>902</v>
      </c>
      <c r="F131" t="s">
        <v>51</v>
      </c>
      <c r="G131" t="s">
        <v>200</v>
      </c>
      <c r="H131" s="1" t="s">
        <v>903</v>
      </c>
      <c r="I131" t="s">
        <v>44</v>
      </c>
      <c r="J131" s="11" t="s">
        <v>381</v>
      </c>
      <c r="K131" t="s">
        <v>44</v>
      </c>
      <c r="L131" t="s">
        <v>44</v>
      </c>
      <c r="M131" t="s">
        <v>44</v>
      </c>
      <c r="N131" t="s">
        <v>44</v>
      </c>
      <c r="P131" t="s">
        <v>904</v>
      </c>
      <c r="Q131" t="s">
        <v>44</v>
      </c>
      <c r="R131" s="6" t="s">
        <v>905</v>
      </c>
      <c r="T131" s="16" t="s">
        <v>44</v>
      </c>
      <c r="U131" t="s">
        <v>44</v>
      </c>
      <c r="V131" t="s">
        <v>44</v>
      </c>
      <c r="W131" s="16" t="s">
        <v>906</v>
      </c>
      <c r="Y131" s="21">
        <v>43663</v>
      </c>
      <c r="Z131" s="22">
        <v>0.45593750000000005</v>
      </c>
      <c r="AA131" t="s">
        <v>6</v>
      </c>
      <c r="AB131" t="s">
        <v>95</v>
      </c>
      <c r="AC131" t="s">
        <v>66</v>
      </c>
      <c r="AD131" t="s">
        <v>879</v>
      </c>
      <c r="AE131" t="s">
        <v>44</v>
      </c>
      <c r="AF131" t="s">
        <v>44</v>
      </c>
      <c r="AG131" t="s">
        <v>44</v>
      </c>
      <c r="AH131" s="21">
        <v>43665</v>
      </c>
      <c r="AK131" t="s">
        <v>248</v>
      </c>
    </row>
    <row r="132" spans="1:38" x14ac:dyDescent="0.3">
      <c r="A132" t="s">
        <v>907</v>
      </c>
      <c r="B132" t="s">
        <v>45</v>
      </c>
      <c r="C132" t="s">
        <v>43</v>
      </c>
      <c r="D132" t="s">
        <v>908</v>
      </c>
      <c r="E132" t="s">
        <v>910</v>
      </c>
      <c r="G132" t="s">
        <v>44</v>
      </c>
      <c r="H132" s="1" t="s">
        <v>44</v>
      </c>
      <c r="I132" t="s">
        <v>44</v>
      </c>
      <c r="J132" s="11" t="s">
        <v>82</v>
      </c>
      <c r="L132" t="s">
        <v>44</v>
      </c>
      <c r="M132" t="s">
        <v>44</v>
      </c>
      <c r="P132" t="s">
        <v>909</v>
      </c>
      <c r="Q132" t="s">
        <v>44</v>
      </c>
      <c r="R132" s="6" t="s">
        <v>44</v>
      </c>
      <c r="T132" s="16" t="s">
        <v>44</v>
      </c>
      <c r="U132" t="s">
        <v>44</v>
      </c>
      <c r="V132" t="s">
        <v>44</v>
      </c>
      <c r="W132" s="16" t="s">
        <v>911</v>
      </c>
      <c r="Y132" s="21">
        <v>43663</v>
      </c>
      <c r="Z132" s="22">
        <v>0.71418981481481481</v>
      </c>
      <c r="AB132" t="s">
        <v>44</v>
      </c>
      <c r="AC132" t="s">
        <v>66</v>
      </c>
      <c r="AD132" s="21">
        <v>43664</v>
      </c>
      <c r="AE132" t="s">
        <v>44</v>
      </c>
      <c r="AF132" t="s">
        <v>44</v>
      </c>
      <c r="AG132" t="s">
        <v>44</v>
      </c>
      <c r="AH132" s="21">
        <v>43664</v>
      </c>
      <c r="AK132" t="s">
        <v>263</v>
      </c>
      <c r="AL132" t="s">
        <v>912</v>
      </c>
    </row>
    <row r="133" spans="1:38" x14ac:dyDescent="0.3">
      <c r="A133" t="s">
        <v>916</v>
      </c>
      <c r="B133" t="s">
        <v>45</v>
      </c>
      <c r="C133" t="s">
        <v>43</v>
      </c>
      <c r="D133" t="s">
        <v>917</v>
      </c>
      <c r="E133" t="s">
        <v>918</v>
      </c>
      <c r="F133" t="s">
        <v>44</v>
      </c>
      <c r="G133" t="s">
        <v>44</v>
      </c>
      <c r="H133" s="1" t="s">
        <v>44</v>
      </c>
      <c r="I133" t="s">
        <v>44</v>
      </c>
      <c r="J133" s="11" t="s">
        <v>82</v>
      </c>
      <c r="K133" t="s">
        <v>44</v>
      </c>
      <c r="L133" t="s">
        <v>44</v>
      </c>
      <c r="M133" t="s">
        <v>44</v>
      </c>
      <c r="N133" t="s">
        <v>44</v>
      </c>
      <c r="P133" t="s">
        <v>919</v>
      </c>
      <c r="Q133" t="s">
        <v>44</v>
      </c>
      <c r="R133" s="6" t="s">
        <v>920</v>
      </c>
      <c r="T133" s="16" t="s">
        <v>44</v>
      </c>
      <c r="U133" t="s">
        <v>44</v>
      </c>
      <c r="V133" t="s">
        <v>44</v>
      </c>
      <c r="W133" s="16" t="s">
        <v>921</v>
      </c>
      <c r="Y133" s="21">
        <v>43664</v>
      </c>
      <c r="Z133" s="22">
        <v>0.45987268518518515</v>
      </c>
      <c r="AA133" t="s">
        <v>44</v>
      </c>
      <c r="AB133" t="s">
        <v>44</v>
      </c>
      <c r="AC133" t="s">
        <v>66</v>
      </c>
      <c r="AD133" t="s">
        <v>922</v>
      </c>
      <c r="AE133" t="s">
        <v>44</v>
      </c>
      <c r="AF133" t="s">
        <v>44</v>
      </c>
      <c r="AG133" t="s">
        <v>44</v>
      </c>
      <c r="AH133" s="21">
        <v>43668</v>
      </c>
      <c r="AK133" t="s">
        <v>248</v>
      </c>
    </row>
    <row r="134" spans="1:38" x14ac:dyDescent="0.3">
      <c r="A134" t="s">
        <v>923</v>
      </c>
      <c r="B134" t="s">
        <v>45</v>
      </c>
      <c r="C134" t="s">
        <v>43</v>
      </c>
      <c r="D134" t="s">
        <v>924</v>
      </c>
      <c r="E134" t="s">
        <v>925</v>
      </c>
      <c r="F134" t="s">
        <v>51</v>
      </c>
      <c r="G134" t="s">
        <v>163</v>
      </c>
      <c r="H134" s="1" t="s">
        <v>926</v>
      </c>
      <c r="I134" t="s">
        <v>44</v>
      </c>
      <c r="J134" s="11" t="s">
        <v>82</v>
      </c>
      <c r="K134" t="s">
        <v>44</v>
      </c>
      <c r="L134" t="s">
        <v>44</v>
      </c>
      <c r="M134" t="s">
        <v>44</v>
      </c>
      <c r="N134" t="s">
        <v>44</v>
      </c>
      <c r="P134" t="s">
        <v>927</v>
      </c>
      <c r="Q134" t="s">
        <v>44</v>
      </c>
      <c r="R134" s="6" t="s">
        <v>928</v>
      </c>
      <c r="T134" s="16" t="s">
        <v>44</v>
      </c>
      <c r="U134" t="s">
        <v>44</v>
      </c>
      <c r="V134" t="s">
        <v>929</v>
      </c>
      <c r="W134" s="16" t="s">
        <v>930</v>
      </c>
      <c r="Y134" s="21">
        <v>43664</v>
      </c>
      <c r="Z134" s="22">
        <v>0.47924768518518518</v>
      </c>
      <c r="AA134" t="s">
        <v>6</v>
      </c>
      <c r="AB134" t="s">
        <v>118</v>
      </c>
      <c r="AC134" t="s">
        <v>66</v>
      </c>
      <c r="AD134" t="s">
        <v>922</v>
      </c>
      <c r="AE134" t="s">
        <v>44</v>
      </c>
      <c r="AF134" t="s">
        <v>44</v>
      </c>
      <c r="AG134" t="s">
        <v>44</v>
      </c>
      <c r="AH134" s="21">
        <v>43668</v>
      </c>
      <c r="AK134" t="s">
        <v>248</v>
      </c>
    </row>
    <row r="135" spans="1:38" x14ac:dyDescent="0.3">
      <c r="A135" t="s">
        <v>931</v>
      </c>
      <c r="B135" t="s">
        <v>161</v>
      </c>
      <c r="C135" t="s">
        <v>43</v>
      </c>
      <c r="D135" t="s">
        <v>932</v>
      </c>
      <c r="E135" t="s">
        <v>933</v>
      </c>
      <c r="F135" t="s">
        <v>44</v>
      </c>
      <c r="G135" t="s">
        <v>44</v>
      </c>
      <c r="H135" s="1" t="s">
        <v>44</v>
      </c>
      <c r="I135" t="s">
        <v>44</v>
      </c>
      <c r="J135" s="11" t="s">
        <v>82</v>
      </c>
      <c r="K135" t="s">
        <v>44</v>
      </c>
      <c r="L135" t="s">
        <v>44</v>
      </c>
      <c r="M135" t="s">
        <v>44</v>
      </c>
      <c r="N135" t="s">
        <v>44</v>
      </c>
      <c r="P135" t="s">
        <v>934</v>
      </c>
      <c r="Q135" t="s">
        <v>44</v>
      </c>
      <c r="R135" s="6" t="s">
        <v>935</v>
      </c>
      <c r="T135" s="16" t="s">
        <v>44</v>
      </c>
      <c r="U135" t="s">
        <v>44</v>
      </c>
      <c r="V135" t="s">
        <v>44</v>
      </c>
      <c r="W135" s="16" t="s">
        <v>936</v>
      </c>
      <c r="Y135" s="21">
        <v>43664</v>
      </c>
      <c r="Z135" s="22">
        <v>0.72825231481481489</v>
      </c>
      <c r="AA135" t="s">
        <v>44</v>
      </c>
      <c r="AB135" t="s">
        <v>44</v>
      </c>
      <c r="AC135" t="s">
        <v>66</v>
      </c>
      <c r="AD135" t="s">
        <v>922</v>
      </c>
      <c r="AE135" t="s">
        <v>44</v>
      </c>
      <c r="AF135" t="s">
        <v>44</v>
      </c>
      <c r="AG135" t="s">
        <v>44</v>
      </c>
      <c r="AH135" s="21">
        <v>43665</v>
      </c>
      <c r="AK135" t="s">
        <v>248</v>
      </c>
    </row>
    <row r="136" spans="1:38" x14ac:dyDescent="0.3">
      <c r="A136" s="26" t="s">
        <v>943</v>
      </c>
      <c r="B136" t="s">
        <v>937</v>
      </c>
      <c r="C136" t="s">
        <v>43</v>
      </c>
      <c r="D136" t="s">
        <v>938</v>
      </c>
      <c r="E136" t="s">
        <v>939</v>
      </c>
      <c r="F136" t="s">
        <v>199</v>
      </c>
      <c r="G136" t="s">
        <v>44</v>
      </c>
      <c r="H136" s="1" t="s">
        <v>44</v>
      </c>
      <c r="I136" t="s">
        <v>44</v>
      </c>
      <c r="J136" s="11" t="s">
        <v>82</v>
      </c>
      <c r="K136" t="s">
        <v>44</v>
      </c>
      <c r="L136" t="s">
        <v>44</v>
      </c>
      <c r="M136" t="s">
        <v>44</v>
      </c>
      <c r="N136" t="s">
        <v>44</v>
      </c>
      <c r="P136" t="s">
        <v>940</v>
      </c>
      <c r="Q136" t="s">
        <v>44</v>
      </c>
      <c r="R136" s="6" t="s">
        <v>44</v>
      </c>
      <c r="T136" s="16" t="s">
        <v>44</v>
      </c>
      <c r="U136" t="s">
        <v>44</v>
      </c>
      <c r="V136" t="s">
        <v>44</v>
      </c>
      <c r="W136" s="16" t="s">
        <v>941</v>
      </c>
      <c r="Y136" s="21">
        <v>43668</v>
      </c>
      <c r="Z136" s="22">
        <v>0.41989583333333336</v>
      </c>
      <c r="AA136" t="s">
        <v>44</v>
      </c>
      <c r="AB136" t="s">
        <v>44</v>
      </c>
      <c r="AC136" t="s">
        <v>66</v>
      </c>
      <c r="AD136" t="s">
        <v>942</v>
      </c>
      <c r="AE136" t="s">
        <v>44</v>
      </c>
      <c r="AF136" t="s">
        <v>44</v>
      </c>
      <c r="AG136" t="s">
        <v>44</v>
      </c>
      <c r="AH136" s="21">
        <v>43668</v>
      </c>
      <c r="AK136" t="s">
        <v>263</v>
      </c>
    </row>
    <row r="137" spans="1:38" x14ac:dyDescent="0.3">
      <c r="A137" t="s">
        <v>944</v>
      </c>
      <c r="B137" t="s">
        <v>45</v>
      </c>
      <c r="C137" t="s">
        <v>43</v>
      </c>
      <c r="D137" t="s">
        <v>945</v>
      </c>
      <c r="E137" t="s">
        <v>946</v>
      </c>
      <c r="F137" t="s">
        <v>44</v>
      </c>
      <c r="G137" t="s">
        <v>44</v>
      </c>
      <c r="H137" s="1" t="s">
        <v>44</v>
      </c>
      <c r="I137" t="s">
        <v>44</v>
      </c>
      <c r="J137" s="11" t="s">
        <v>82</v>
      </c>
      <c r="K137" t="s">
        <v>44</v>
      </c>
      <c r="L137" t="s">
        <v>44</v>
      </c>
      <c r="M137" t="s">
        <v>44</v>
      </c>
      <c r="N137" t="s">
        <v>44</v>
      </c>
      <c r="P137" t="s">
        <v>947</v>
      </c>
      <c r="Q137" t="s">
        <v>44</v>
      </c>
      <c r="R137" s="6" t="s">
        <v>44</v>
      </c>
      <c r="T137" s="16" t="s">
        <v>44</v>
      </c>
      <c r="U137" t="s">
        <v>44</v>
      </c>
      <c r="V137" t="s">
        <v>44</v>
      </c>
      <c r="W137" s="16" t="s">
        <v>948</v>
      </c>
      <c r="Y137" s="21">
        <v>43668</v>
      </c>
      <c r="Z137" s="22">
        <v>0.42562499999999998</v>
      </c>
      <c r="AA137" t="s">
        <v>44</v>
      </c>
      <c r="AB137" t="s">
        <v>44</v>
      </c>
      <c r="AC137" t="s">
        <v>66</v>
      </c>
      <c r="AD137" t="s">
        <v>942</v>
      </c>
      <c r="AE137" t="s">
        <v>44</v>
      </c>
      <c r="AF137" t="s">
        <v>44</v>
      </c>
      <c r="AG137" t="s">
        <v>44</v>
      </c>
      <c r="AH137" s="21">
        <v>43668</v>
      </c>
      <c r="AK137" t="s">
        <v>248</v>
      </c>
    </row>
    <row r="138" spans="1:38" x14ac:dyDescent="0.3">
      <c r="A138" t="s">
        <v>949</v>
      </c>
      <c r="B138" t="s">
        <v>161</v>
      </c>
      <c r="C138" t="s">
        <v>43</v>
      </c>
      <c r="D138" t="s">
        <v>950</v>
      </c>
      <c r="E138" t="s">
        <v>266</v>
      </c>
      <c r="F138" t="s">
        <v>199</v>
      </c>
      <c r="G138" t="s">
        <v>44</v>
      </c>
      <c r="H138" s="1" t="s">
        <v>44</v>
      </c>
      <c r="I138" t="s">
        <v>44</v>
      </c>
      <c r="J138" s="11" t="s">
        <v>82</v>
      </c>
      <c r="K138" t="s">
        <v>44</v>
      </c>
      <c r="L138" t="s">
        <v>44</v>
      </c>
      <c r="M138" t="s">
        <v>44</v>
      </c>
      <c r="N138" t="s">
        <v>44</v>
      </c>
      <c r="P138" t="s">
        <v>951</v>
      </c>
      <c r="Q138" t="s">
        <v>44</v>
      </c>
      <c r="R138" s="6" t="s">
        <v>44</v>
      </c>
      <c r="T138" s="16" t="s">
        <v>44</v>
      </c>
      <c r="U138" t="s">
        <v>44</v>
      </c>
      <c r="V138" t="s">
        <v>44</v>
      </c>
      <c r="W138" s="16" t="s">
        <v>952</v>
      </c>
      <c r="Y138" s="21">
        <v>43668</v>
      </c>
      <c r="Z138" s="22">
        <v>0.48305555555555557</v>
      </c>
      <c r="AA138" t="s">
        <v>44</v>
      </c>
      <c r="AB138" t="s">
        <v>44</v>
      </c>
      <c r="AC138" t="s">
        <v>66</v>
      </c>
      <c r="AD138" t="s">
        <v>942</v>
      </c>
      <c r="AE138" t="s">
        <v>44</v>
      </c>
      <c r="AF138" t="s">
        <v>44</v>
      </c>
      <c r="AG138" t="s">
        <v>44</v>
      </c>
      <c r="AH138" s="21">
        <v>43668</v>
      </c>
      <c r="AK138" t="s">
        <v>263</v>
      </c>
    </row>
    <row r="139" spans="1:38" x14ac:dyDescent="0.3">
      <c r="A139" t="s">
        <v>953</v>
      </c>
      <c r="B139" t="s">
        <v>45</v>
      </c>
      <c r="C139" t="s">
        <v>43</v>
      </c>
      <c r="D139" t="s">
        <v>954</v>
      </c>
      <c r="E139" t="s">
        <v>955</v>
      </c>
      <c r="F139" t="s">
        <v>208</v>
      </c>
      <c r="G139" t="s">
        <v>44</v>
      </c>
      <c r="H139" s="1" t="s">
        <v>44</v>
      </c>
      <c r="I139" t="s">
        <v>44</v>
      </c>
      <c r="J139" s="11" t="s">
        <v>82</v>
      </c>
      <c r="K139" t="s">
        <v>44</v>
      </c>
      <c r="L139" t="s">
        <v>44</v>
      </c>
      <c r="M139" t="s">
        <v>44</v>
      </c>
      <c r="N139" t="s">
        <v>44</v>
      </c>
      <c r="P139" t="s">
        <v>956</v>
      </c>
      <c r="Q139" t="s">
        <v>44</v>
      </c>
      <c r="R139" s="6" t="s">
        <v>44</v>
      </c>
      <c r="T139" s="16" t="s">
        <v>44</v>
      </c>
      <c r="U139" t="s">
        <v>44</v>
      </c>
      <c r="V139" t="s">
        <v>44</v>
      </c>
      <c r="W139" s="16" t="s">
        <v>957</v>
      </c>
      <c r="Y139" s="21">
        <v>43668</v>
      </c>
      <c r="Z139" s="22">
        <v>0.59936342592592595</v>
      </c>
      <c r="AA139" t="s">
        <v>44</v>
      </c>
      <c r="AB139" t="s">
        <v>44</v>
      </c>
      <c r="AC139" t="s">
        <v>66</v>
      </c>
      <c r="AD139" t="s">
        <v>942</v>
      </c>
      <c r="AE139" t="s">
        <v>44</v>
      </c>
      <c r="AF139" t="s">
        <v>44</v>
      </c>
      <c r="AG139" t="s">
        <v>44</v>
      </c>
      <c r="AH139" s="21">
        <v>43668</v>
      </c>
      <c r="AK139" t="s">
        <v>263</v>
      </c>
    </row>
    <row r="140" spans="1:38" x14ac:dyDescent="0.3">
      <c r="A140" t="s">
        <v>958</v>
      </c>
      <c r="B140" t="s">
        <v>45</v>
      </c>
      <c r="C140" t="s">
        <v>43</v>
      </c>
      <c r="D140" t="s">
        <v>959</v>
      </c>
      <c r="E140" t="s">
        <v>44</v>
      </c>
      <c r="F140" t="s">
        <v>44</v>
      </c>
      <c r="G140" t="s">
        <v>44</v>
      </c>
      <c r="H140" s="1" t="s">
        <v>44</v>
      </c>
      <c r="I140" t="s">
        <v>44</v>
      </c>
      <c r="J140" s="11" t="s">
        <v>82</v>
      </c>
      <c r="K140" t="s">
        <v>44</v>
      </c>
      <c r="L140" t="s">
        <v>44</v>
      </c>
      <c r="M140" t="s">
        <v>44</v>
      </c>
      <c r="N140" t="s">
        <v>44</v>
      </c>
      <c r="P140" t="s">
        <v>960</v>
      </c>
      <c r="Q140" t="s">
        <v>44</v>
      </c>
      <c r="R140" s="6" t="s">
        <v>44</v>
      </c>
      <c r="T140" s="16" t="s">
        <v>44</v>
      </c>
      <c r="U140" t="s">
        <v>44</v>
      </c>
      <c r="V140" t="s">
        <v>44</v>
      </c>
      <c r="W140" s="16" t="s">
        <v>961</v>
      </c>
      <c r="Y140" s="21">
        <v>43668</v>
      </c>
      <c r="Z140" s="22">
        <v>0.60851851851851857</v>
      </c>
      <c r="AA140" t="s">
        <v>44</v>
      </c>
      <c r="AB140" t="s">
        <v>44</v>
      </c>
      <c r="AC140" t="s">
        <v>66</v>
      </c>
      <c r="AD140" t="s">
        <v>942</v>
      </c>
      <c r="AE140" t="s">
        <v>44</v>
      </c>
      <c r="AF140" t="s">
        <v>44</v>
      </c>
      <c r="AG140" t="s">
        <v>44</v>
      </c>
      <c r="AH140" s="21">
        <v>43672</v>
      </c>
      <c r="AK140" t="s">
        <v>248</v>
      </c>
    </row>
    <row r="141" spans="1:38" x14ac:dyDescent="0.3">
      <c r="A141" t="s">
        <v>962</v>
      </c>
      <c r="B141" t="s">
        <v>45</v>
      </c>
      <c r="C141" t="s">
        <v>43</v>
      </c>
      <c r="D141" t="s">
        <v>963</v>
      </c>
      <c r="E141" t="s">
        <v>44</v>
      </c>
      <c r="F141" t="s">
        <v>44</v>
      </c>
      <c r="G141" t="s">
        <v>44</v>
      </c>
      <c r="H141" s="1" t="s">
        <v>44</v>
      </c>
      <c r="I141" t="s">
        <v>44</v>
      </c>
      <c r="J141" s="11" t="s">
        <v>82</v>
      </c>
      <c r="K141" t="s">
        <v>44</v>
      </c>
      <c r="L141" t="s">
        <v>44</v>
      </c>
      <c r="M141" t="s">
        <v>44</v>
      </c>
      <c r="N141" t="s">
        <v>44</v>
      </c>
      <c r="P141" t="s">
        <v>964</v>
      </c>
      <c r="Q141" t="s">
        <v>44</v>
      </c>
      <c r="R141" s="6" t="s">
        <v>44</v>
      </c>
      <c r="T141" s="16" t="s">
        <v>44</v>
      </c>
      <c r="U141" t="s">
        <v>44</v>
      </c>
      <c r="V141" t="s">
        <v>44</v>
      </c>
      <c r="W141" s="16" t="s">
        <v>965</v>
      </c>
      <c r="Y141" s="21">
        <v>43668</v>
      </c>
      <c r="Z141" s="22">
        <v>0.61068287037037039</v>
      </c>
      <c r="AA141" t="s">
        <v>44</v>
      </c>
      <c r="AB141" t="s">
        <v>44</v>
      </c>
      <c r="AC141" t="s">
        <v>66</v>
      </c>
      <c r="AD141" t="s">
        <v>942</v>
      </c>
      <c r="AE141" t="s">
        <v>44</v>
      </c>
      <c r="AF141" t="s">
        <v>44</v>
      </c>
      <c r="AG141" t="s">
        <v>44</v>
      </c>
      <c r="AH141" s="21">
        <v>43672</v>
      </c>
      <c r="AK141" t="s">
        <v>248</v>
      </c>
    </row>
    <row r="142" spans="1:38" x14ac:dyDescent="0.3">
      <c r="A142" t="s">
        <v>966</v>
      </c>
      <c r="B142" t="s">
        <v>45</v>
      </c>
      <c r="C142" t="s">
        <v>43</v>
      </c>
      <c r="D142" t="s">
        <v>967</v>
      </c>
      <c r="E142" t="s">
        <v>910</v>
      </c>
      <c r="F142" t="s">
        <v>51</v>
      </c>
      <c r="G142" t="s">
        <v>44</v>
      </c>
      <c r="H142" s="1" t="s">
        <v>44</v>
      </c>
      <c r="I142" t="s">
        <v>44</v>
      </c>
      <c r="J142" s="11" t="s">
        <v>82</v>
      </c>
      <c r="K142" t="s">
        <v>44</v>
      </c>
      <c r="L142" t="s">
        <v>44</v>
      </c>
      <c r="M142" t="s">
        <v>44</v>
      </c>
      <c r="N142" t="s">
        <v>44</v>
      </c>
      <c r="P142" t="s">
        <v>968</v>
      </c>
      <c r="Q142" t="s">
        <v>44</v>
      </c>
      <c r="R142" s="6" t="s">
        <v>969</v>
      </c>
      <c r="T142" s="16" t="s">
        <v>44</v>
      </c>
      <c r="U142" t="s">
        <v>44</v>
      </c>
      <c r="V142" t="s">
        <v>44</v>
      </c>
      <c r="W142" s="16" t="s">
        <v>970</v>
      </c>
      <c r="Y142" s="21">
        <v>43668</v>
      </c>
      <c r="Z142" s="22">
        <v>0.61275462962962968</v>
      </c>
      <c r="AA142" t="s">
        <v>44</v>
      </c>
      <c r="AB142" t="s">
        <v>44</v>
      </c>
      <c r="AC142" t="s">
        <v>66</v>
      </c>
      <c r="AD142" t="s">
        <v>942</v>
      </c>
      <c r="AE142" t="s">
        <v>44</v>
      </c>
      <c r="AF142" t="s">
        <v>44</v>
      </c>
      <c r="AG142" t="s">
        <v>44</v>
      </c>
      <c r="AH142" s="21">
        <v>43668</v>
      </c>
      <c r="AK142" t="s">
        <v>263</v>
      </c>
    </row>
    <row r="143" spans="1:38" x14ac:dyDescent="0.3">
      <c r="A143" t="s">
        <v>971</v>
      </c>
      <c r="B143" t="s">
        <v>161</v>
      </c>
      <c r="C143" t="s">
        <v>43</v>
      </c>
      <c r="D143" t="s">
        <v>972</v>
      </c>
      <c r="E143" t="s">
        <v>973</v>
      </c>
      <c r="F143" t="s">
        <v>44</v>
      </c>
      <c r="G143" t="s">
        <v>44</v>
      </c>
      <c r="H143" s="1" t="s">
        <v>44</v>
      </c>
      <c r="I143" t="s">
        <v>44</v>
      </c>
      <c r="J143" s="11" t="s">
        <v>82</v>
      </c>
      <c r="K143" t="s">
        <v>44</v>
      </c>
      <c r="L143" t="s">
        <v>44</v>
      </c>
      <c r="M143" t="s">
        <v>44</v>
      </c>
      <c r="N143" t="s">
        <v>44</v>
      </c>
      <c r="P143" t="s">
        <v>974</v>
      </c>
      <c r="Q143" t="s">
        <v>44</v>
      </c>
      <c r="R143" s="6" t="s">
        <v>44</v>
      </c>
      <c r="T143" s="16" t="s">
        <v>44</v>
      </c>
      <c r="U143" t="s">
        <v>44</v>
      </c>
      <c r="V143" t="s">
        <v>44</v>
      </c>
      <c r="W143" s="16" t="s">
        <v>975</v>
      </c>
      <c r="Y143" s="21">
        <v>43668</v>
      </c>
      <c r="Z143" s="22">
        <v>0.63637731481481474</v>
      </c>
      <c r="AA143" t="s">
        <v>44</v>
      </c>
      <c r="AB143" t="s">
        <v>44</v>
      </c>
      <c r="AC143" t="s">
        <v>66</v>
      </c>
      <c r="AD143" t="s">
        <v>942</v>
      </c>
      <c r="AE143" t="s">
        <v>44</v>
      </c>
      <c r="AF143" t="s">
        <v>44</v>
      </c>
      <c r="AG143" t="s">
        <v>44</v>
      </c>
      <c r="AH143" s="21">
        <v>43668</v>
      </c>
      <c r="AK143" t="s">
        <v>248</v>
      </c>
    </row>
    <row r="144" spans="1:38" x14ac:dyDescent="0.3">
      <c r="A144" t="s">
        <v>976</v>
      </c>
      <c r="B144" t="s">
        <v>42</v>
      </c>
      <c r="C144" t="s">
        <v>43</v>
      </c>
      <c r="D144" t="s">
        <v>977</v>
      </c>
      <c r="E144" t="s">
        <v>44</v>
      </c>
      <c r="F144" t="s">
        <v>44</v>
      </c>
      <c r="G144" t="s">
        <v>44</v>
      </c>
      <c r="H144" s="1" t="s">
        <v>44</v>
      </c>
      <c r="I144" t="s">
        <v>44</v>
      </c>
      <c r="J144" s="11" t="s">
        <v>82</v>
      </c>
      <c r="K144" t="s">
        <v>44</v>
      </c>
      <c r="L144" t="s">
        <v>44</v>
      </c>
      <c r="M144" t="s">
        <v>44</v>
      </c>
      <c r="N144" t="s">
        <v>44</v>
      </c>
      <c r="P144" t="s">
        <v>978</v>
      </c>
      <c r="Q144" t="s">
        <v>44</v>
      </c>
      <c r="R144" s="6" t="s">
        <v>44</v>
      </c>
      <c r="T144" s="16" t="s">
        <v>44</v>
      </c>
      <c r="U144" t="s">
        <v>44</v>
      </c>
      <c r="V144" t="s">
        <v>44</v>
      </c>
      <c r="W144" s="16" t="s">
        <v>979</v>
      </c>
      <c r="Y144" s="21">
        <v>43668</v>
      </c>
      <c r="Z144" s="22">
        <v>0.6399421296296296</v>
      </c>
      <c r="AA144" t="s">
        <v>44</v>
      </c>
      <c r="AB144" t="s">
        <v>44</v>
      </c>
      <c r="AC144" t="s">
        <v>66</v>
      </c>
      <c r="AD144" t="s">
        <v>942</v>
      </c>
      <c r="AE144" t="s">
        <v>44</v>
      </c>
      <c r="AF144" t="s">
        <v>44</v>
      </c>
      <c r="AG144" t="s">
        <v>44</v>
      </c>
      <c r="AH144" s="21">
        <v>43668</v>
      </c>
      <c r="AK144" t="s">
        <v>263</v>
      </c>
    </row>
    <row r="145" spans="1:38" x14ac:dyDescent="0.3">
      <c r="A145" t="s">
        <v>980</v>
      </c>
      <c r="B145" t="s">
        <v>42</v>
      </c>
      <c r="C145" t="s">
        <v>43</v>
      </c>
      <c r="D145" t="s">
        <v>981</v>
      </c>
      <c r="E145" t="s">
        <v>982</v>
      </c>
      <c r="F145" t="s">
        <v>208</v>
      </c>
      <c r="G145" t="s">
        <v>44</v>
      </c>
      <c r="H145" s="1" t="s">
        <v>44</v>
      </c>
      <c r="I145" t="s">
        <v>44</v>
      </c>
      <c r="J145" s="11" t="s">
        <v>82</v>
      </c>
      <c r="K145" t="s">
        <v>44</v>
      </c>
      <c r="L145" t="s">
        <v>44</v>
      </c>
      <c r="M145" t="s">
        <v>44</v>
      </c>
      <c r="N145" t="s">
        <v>44</v>
      </c>
      <c r="P145" t="s">
        <v>983</v>
      </c>
      <c r="Q145" t="s">
        <v>44</v>
      </c>
      <c r="R145" s="6" t="s">
        <v>984</v>
      </c>
      <c r="T145" s="16" t="s">
        <v>44</v>
      </c>
      <c r="U145" t="s">
        <v>44</v>
      </c>
      <c r="V145" t="s">
        <v>44</v>
      </c>
      <c r="W145" s="16" t="s">
        <v>985</v>
      </c>
      <c r="Y145" s="21">
        <v>43668</v>
      </c>
      <c r="Z145" s="22">
        <v>0.64710648148148142</v>
      </c>
      <c r="AA145" t="s">
        <v>44</v>
      </c>
      <c r="AB145" t="s">
        <v>44</v>
      </c>
      <c r="AC145" t="s">
        <v>66</v>
      </c>
      <c r="AD145" t="s">
        <v>942</v>
      </c>
      <c r="AE145" t="s">
        <v>44</v>
      </c>
      <c r="AF145" t="s">
        <v>44</v>
      </c>
      <c r="AG145" t="s">
        <v>44</v>
      </c>
      <c r="AH145" s="21">
        <v>43669</v>
      </c>
      <c r="AK145" t="s">
        <v>248</v>
      </c>
    </row>
    <row r="146" spans="1:38" x14ac:dyDescent="0.3">
      <c r="A146" t="s">
        <v>986</v>
      </c>
      <c r="B146" t="s">
        <v>45</v>
      </c>
      <c r="C146" t="s">
        <v>43</v>
      </c>
      <c r="D146" t="s">
        <v>987</v>
      </c>
      <c r="E146" t="s">
        <v>955</v>
      </c>
      <c r="F146" t="s">
        <v>44</v>
      </c>
      <c r="G146" t="s">
        <v>44</v>
      </c>
      <c r="H146" s="1" t="s">
        <v>44</v>
      </c>
      <c r="I146" t="s">
        <v>44</v>
      </c>
      <c r="J146" s="11" t="s">
        <v>82</v>
      </c>
      <c r="K146" t="s">
        <v>44</v>
      </c>
      <c r="L146" t="s">
        <v>44</v>
      </c>
      <c r="M146" t="s">
        <v>44</v>
      </c>
      <c r="N146" t="s">
        <v>44</v>
      </c>
      <c r="P146" t="s">
        <v>988</v>
      </c>
      <c r="Q146" t="s">
        <v>44</v>
      </c>
      <c r="R146" s="6" t="s">
        <v>44</v>
      </c>
      <c r="T146" s="16" t="s">
        <v>44</v>
      </c>
      <c r="U146" t="s">
        <v>44</v>
      </c>
      <c r="V146" t="s">
        <v>44</v>
      </c>
      <c r="W146" s="16" t="s">
        <v>989</v>
      </c>
      <c r="Y146" s="21">
        <v>43668</v>
      </c>
      <c r="Z146" s="22">
        <v>0.65788194444444448</v>
      </c>
      <c r="AA146" t="s">
        <v>44</v>
      </c>
      <c r="AB146" t="s">
        <v>44</v>
      </c>
      <c r="AC146" t="s">
        <v>66</v>
      </c>
      <c r="AD146" t="s">
        <v>942</v>
      </c>
      <c r="AE146" t="s">
        <v>44</v>
      </c>
      <c r="AF146" t="s">
        <v>44</v>
      </c>
      <c r="AG146" t="s">
        <v>44</v>
      </c>
      <c r="AH146" s="21">
        <v>43668</v>
      </c>
      <c r="AK146" t="s">
        <v>248</v>
      </c>
    </row>
    <row r="147" spans="1:38" x14ac:dyDescent="0.3">
      <c r="A147" t="s">
        <v>990</v>
      </c>
      <c r="B147" t="s">
        <v>45</v>
      </c>
      <c r="C147" t="s">
        <v>43</v>
      </c>
      <c r="D147" t="s">
        <v>991</v>
      </c>
      <c r="E147" t="s">
        <v>44</v>
      </c>
      <c r="F147" t="s">
        <v>51</v>
      </c>
      <c r="G147" t="s">
        <v>44</v>
      </c>
      <c r="H147" s="1" t="s">
        <v>44</v>
      </c>
      <c r="I147" t="s">
        <v>44</v>
      </c>
      <c r="J147" s="11" t="s">
        <v>82</v>
      </c>
      <c r="K147" t="s">
        <v>44</v>
      </c>
      <c r="L147" t="s">
        <v>44</v>
      </c>
      <c r="M147" t="s">
        <v>44</v>
      </c>
      <c r="N147" t="s">
        <v>44</v>
      </c>
      <c r="P147" t="s">
        <v>992</v>
      </c>
      <c r="Q147" t="s">
        <v>44</v>
      </c>
      <c r="R147" s="6" t="s">
        <v>44</v>
      </c>
      <c r="T147" s="16" t="s">
        <v>44</v>
      </c>
      <c r="U147" t="s">
        <v>44</v>
      </c>
      <c r="V147" t="s">
        <v>44</v>
      </c>
      <c r="W147" s="16" t="s">
        <v>44</v>
      </c>
      <c r="Y147" s="21">
        <v>43668</v>
      </c>
      <c r="Z147" s="22">
        <v>0.69460648148148152</v>
      </c>
      <c r="AA147" t="s">
        <v>44</v>
      </c>
      <c r="AB147" t="s">
        <v>44</v>
      </c>
      <c r="AC147" t="s">
        <v>66</v>
      </c>
      <c r="AD147" t="s">
        <v>942</v>
      </c>
      <c r="AE147" t="s">
        <v>44</v>
      </c>
      <c r="AF147" t="s">
        <v>44</v>
      </c>
      <c r="AG147" t="s">
        <v>44</v>
      </c>
      <c r="AH147" s="21">
        <v>43689</v>
      </c>
      <c r="AK147" t="s">
        <v>248</v>
      </c>
    </row>
    <row r="148" spans="1:38" x14ac:dyDescent="0.3">
      <c r="A148" t="s">
        <v>993</v>
      </c>
      <c r="B148" t="s">
        <v>161</v>
      </c>
      <c r="C148" t="s">
        <v>43</v>
      </c>
      <c r="D148" t="s">
        <v>994</v>
      </c>
      <c r="E148" t="s">
        <v>995</v>
      </c>
      <c r="F148" t="s">
        <v>199</v>
      </c>
      <c r="G148" t="s">
        <v>44</v>
      </c>
      <c r="H148" s="1" t="s">
        <v>44</v>
      </c>
      <c r="I148" t="s">
        <v>44</v>
      </c>
      <c r="J148" s="11" t="s">
        <v>82</v>
      </c>
      <c r="K148" t="s">
        <v>44</v>
      </c>
      <c r="L148" t="s">
        <v>44</v>
      </c>
      <c r="M148" t="s">
        <v>44</v>
      </c>
      <c r="N148" t="s">
        <v>44</v>
      </c>
      <c r="P148" t="s">
        <v>996</v>
      </c>
      <c r="Q148" t="s">
        <v>44</v>
      </c>
      <c r="R148" s="6" t="s">
        <v>44</v>
      </c>
      <c r="T148" s="16" t="s">
        <v>44</v>
      </c>
      <c r="U148" t="s">
        <v>44</v>
      </c>
      <c r="V148" t="s">
        <v>44</v>
      </c>
      <c r="W148" s="16" t="s">
        <v>997</v>
      </c>
      <c r="Y148" s="21">
        <v>43668</v>
      </c>
      <c r="Z148" s="22">
        <v>0.69562500000000005</v>
      </c>
      <c r="AA148" t="s">
        <v>44</v>
      </c>
      <c r="AB148" t="s">
        <v>44</v>
      </c>
      <c r="AC148" t="s">
        <v>66</v>
      </c>
      <c r="AD148" t="s">
        <v>942</v>
      </c>
      <c r="AE148" t="s">
        <v>44</v>
      </c>
      <c r="AF148" t="s">
        <v>44</v>
      </c>
      <c r="AG148" t="s">
        <v>44</v>
      </c>
      <c r="AH148" s="21">
        <v>43668</v>
      </c>
      <c r="AK148" t="s">
        <v>263</v>
      </c>
    </row>
    <row r="149" spans="1:38" x14ac:dyDescent="0.3">
      <c r="A149" t="s">
        <v>998</v>
      </c>
      <c r="B149" t="s">
        <v>45</v>
      </c>
      <c r="C149" t="s">
        <v>43</v>
      </c>
      <c r="D149" t="s">
        <v>999</v>
      </c>
      <c r="E149" t="s">
        <v>44</v>
      </c>
      <c r="F149" t="s">
        <v>44</v>
      </c>
      <c r="G149" t="s">
        <v>44</v>
      </c>
      <c r="H149" s="1" t="s">
        <v>44</v>
      </c>
      <c r="I149" t="s">
        <v>44</v>
      </c>
      <c r="J149" s="11" t="s">
        <v>82</v>
      </c>
      <c r="K149" t="s">
        <v>44</v>
      </c>
      <c r="L149" t="s">
        <v>44</v>
      </c>
      <c r="M149" t="s">
        <v>44</v>
      </c>
      <c r="N149" t="s">
        <v>44</v>
      </c>
      <c r="P149" t="s">
        <v>1000</v>
      </c>
      <c r="Q149" t="s">
        <v>44</v>
      </c>
      <c r="R149" s="6" t="s">
        <v>44</v>
      </c>
      <c r="T149" s="16" t="s">
        <v>44</v>
      </c>
      <c r="U149" t="s">
        <v>44</v>
      </c>
      <c r="V149" t="s">
        <v>44</v>
      </c>
      <c r="W149" s="16" t="s">
        <v>1001</v>
      </c>
      <c r="Y149" s="21">
        <v>43668</v>
      </c>
      <c r="Z149" s="22">
        <v>0.7096527777777778</v>
      </c>
      <c r="AA149" t="s">
        <v>44</v>
      </c>
      <c r="AB149" t="s">
        <v>44</v>
      </c>
      <c r="AC149" t="s">
        <v>66</v>
      </c>
      <c r="AD149" t="s">
        <v>942</v>
      </c>
      <c r="AE149" t="s">
        <v>44</v>
      </c>
      <c r="AF149" t="s">
        <v>44</v>
      </c>
      <c r="AG149" t="s">
        <v>44</v>
      </c>
      <c r="AH149" s="21">
        <v>43668</v>
      </c>
      <c r="AK149" t="s">
        <v>263</v>
      </c>
    </row>
    <row r="150" spans="1:38" x14ac:dyDescent="0.3">
      <c r="A150" t="s">
        <v>1002</v>
      </c>
      <c r="B150" t="s">
        <v>45</v>
      </c>
      <c r="C150" t="s">
        <v>43</v>
      </c>
      <c r="D150" t="s">
        <v>1003</v>
      </c>
      <c r="E150" t="s">
        <v>1004</v>
      </c>
      <c r="G150" t="s">
        <v>44</v>
      </c>
      <c r="H150" s="1" t="s">
        <v>44</v>
      </c>
      <c r="I150" t="s">
        <v>44</v>
      </c>
      <c r="J150" s="11" t="s">
        <v>82</v>
      </c>
      <c r="L150" t="s">
        <v>44</v>
      </c>
      <c r="M150" t="s">
        <v>44</v>
      </c>
      <c r="P150" t="s">
        <v>1005</v>
      </c>
      <c r="Q150" t="s">
        <v>44</v>
      </c>
      <c r="R150" s="6" t="s">
        <v>1006</v>
      </c>
      <c r="T150" s="16" t="s">
        <v>44</v>
      </c>
      <c r="U150" t="s">
        <v>44</v>
      </c>
      <c r="V150" t="s">
        <v>44</v>
      </c>
      <c r="W150" s="16" t="s">
        <v>1007</v>
      </c>
      <c r="Y150" s="21">
        <v>43668</v>
      </c>
      <c r="Z150" s="22">
        <v>0.71208333333333329</v>
      </c>
      <c r="AB150" t="s">
        <v>44</v>
      </c>
      <c r="AC150" t="s">
        <v>66</v>
      </c>
      <c r="AD150" s="21">
        <v>43668</v>
      </c>
      <c r="AE150" t="s">
        <v>44</v>
      </c>
      <c r="AF150" t="s">
        <v>44</v>
      </c>
      <c r="AG150" t="s">
        <v>44</v>
      </c>
      <c r="AH150" s="21">
        <v>43672</v>
      </c>
      <c r="AK150" t="s">
        <v>248</v>
      </c>
      <c r="AL150" t="s">
        <v>1008</v>
      </c>
    </row>
    <row r="151" spans="1:38" x14ac:dyDescent="0.3">
      <c r="A151" t="s">
        <v>1009</v>
      </c>
      <c r="B151" t="s">
        <v>45</v>
      </c>
      <c r="C151" t="s">
        <v>43</v>
      </c>
      <c r="D151" t="s">
        <v>1010</v>
      </c>
      <c r="E151" t="s">
        <v>1011</v>
      </c>
      <c r="F151" t="s">
        <v>125</v>
      </c>
      <c r="G151" t="s">
        <v>200</v>
      </c>
      <c r="H151" s="1" t="s">
        <v>44</v>
      </c>
      <c r="I151" t="s">
        <v>44</v>
      </c>
      <c r="J151" s="11" t="s">
        <v>75</v>
      </c>
      <c r="L151" t="s">
        <v>44</v>
      </c>
      <c r="M151" t="s">
        <v>44</v>
      </c>
      <c r="P151" t="s">
        <v>1012</v>
      </c>
      <c r="Q151" t="s">
        <v>44</v>
      </c>
      <c r="R151" s="6" t="s">
        <v>1013</v>
      </c>
      <c r="T151" s="16" t="s">
        <v>44</v>
      </c>
      <c r="U151" t="s">
        <v>44</v>
      </c>
      <c r="V151" t="s">
        <v>44</v>
      </c>
      <c r="W151" s="16" t="s">
        <v>1071</v>
      </c>
      <c r="Y151" s="21">
        <v>43668</v>
      </c>
      <c r="Z151" s="22">
        <v>0.7286921296296297</v>
      </c>
      <c r="AA151" t="s">
        <v>6</v>
      </c>
      <c r="AB151" t="s">
        <v>95</v>
      </c>
      <c r="AC151" t="s">
        <v>54</v>
      </c>
      <c r="AD151" s="21">
        <v>43670</v>
      </c>
      <c r="AE151" t="s">
        <v>44</v>
      </c>
      <c r="AF151" t="s">
        <v>44</v>
      </c>
      <c r="AG151" t="s">
        <v>44</v>
      </c>
      <c r="AH151" s="21">
        <v>43670</v>
      </c>
      <c r="AK151" t="s">
        <v>248</v>
      </c>
      <c r="AL151" t="s">
        <v>1072</v>
      </c>
    </row>
    <row r="152" spans="1:38" x14ac:dyDescent="0.3">
      <c r="A152" t="s">
        <v>1014</v>
      </c>
      <c r="B152" t="s">
        <v>45</v>
      </c>
      <c r="C152" t="s">
        <v>43</v>
      </c>
      <c r="D152" t="s">
        <v>1015</v>
      </c>
      <c r="E152" t="s">
        <v>1016</v>
      </c>
      <c r="F152" t="s">
        <v>44</v>
      </c>
      <c r="G152" t="s">
        <v>44</v>
      </c>
      <c r="H152" s="1" t="s">
        <v>44</v>
      </c>
      <c r="I152" t="s">
        <v>44</v>
      </c>
      <c r="J152" s="11" t="s">
        <v>82</v>
      </c>
      <c r="K152" t="s">
        <v>44</v>
      </c>
      <c r="L152" t="s">
        <v>44</v>
      </c>
      <c r="M152" t="s">
        <v>44</v>
      </c>
      <c r="N152" t="s">
        <v>44</v>
      </c>
      <c r="P152" t="s">
        <v>1017</v>
      </c>
      <c r="Q152" t="s">
        <v>44</v>
      </c>
      <c r="R152" s="6" t="s">
        <v>44</v>
      </c>
      <c r="T152" s="16" t="s">
        <v>44</v>
      </c>
      <c r="U152" t="s">
        <v>44</v>
      </c>
      <c r="V152" t="s">
        <v>44</v>
      </c>
      <c r="W152" s="16" t="s">
        <v>1018</v>
      </c>
      <c r="Y152" s="21">
        <v>43668</v>
      </c>
      <c r="Z152" s="22">
        <v>0.72996527777777775</v>
      </c>
      <c r="AA152" t="s">
        <v>44</v>
      </c>
      <c r="AB152" t="s">
        <v>44</v>
      </c>
      <c r="AC152" t="s">
        <v>66</v>
      </c>
      <c r="AD152" t="s">
        <v>942</v>
      </c>
      <c r="AE152" t="s">
        <v>44</v>
      </c>
      <c r="AF152" t="s">
        <v>44</v>
      </c>
      <c r="AG152" t="s">
        <v>44</v>
      </c>
      <c r="AH152" s="21">
        <v>43669</v>
      </c>
      <c r="AK152" t="s">
        <v>248</v>
      </c>
    </row>
    <row r="153" spans="1:38" x14ac:dyDescent="0.3">
      <c r="A153" t="s">
        <v>1019</v>
      </c>
      <c r="B153" t="s">
        <v>45</v>
      </c>
      <c r="C153" t="s">
        <v>43</v>
      </c>
      <c r="D153" t="s">
        <v>1020</v>
      </c>
      <c r="E153" t="s">
        <v>1021</v>
      </c>
      <c r="F153" t="s">
        <v>46</v>
      </c>
      <c r="G153" t="s">
        <v>44</v>
      </c>
      <c r="H153" s="1" t="s">
        <v>44</v>
      </c>
      <c r="I153" t="s">
        <v>44</v>
      </c>
      <c r="J153" s="11" t="s">
        <v>82</v>
      </c>
      <c r="K153" t="s">
        <v>44</v>
      </c>
      <c r="L153" t="s">
        <v>44</v>
      </c>
      <c r="M153" t="s">
        <v>44</v>
      </c>
      <c r="N153" t="s">
        <v>44</v>
      </c>
      <c r="P153" t="s">
        <v>1022</v>
      </c>
      <c r="Q153" t="s">
        <v>44</v>
      </c>
      <c r="R153" s="6" t="s">
        <v>1023</v>
      </c>
      <c r="T153" s="16" t="s">
        <v>44</v>
      </c>
      <c r="U153" t="s">
        <v>44</v>
      </c>
      <c r="V153" t="s">
        <v>44</v>
      </c>
      <c r="W153" s="16" t="s">
        <v>1024</v>
      </c>
      <c r="Y153" s="21">
        <v>43668</v>
      </c>
      <c r="Z153" s="22">
        <v>0.74842592592592594</v>
      </c>
      <c r="AA153" t="s">
        <v>44</v>
      </c>
      <c r="AB153" t="s">
        <v>44</v>
      </c>
      <c r="AC153" t="s">
        <v>66</v>
      </c>
      <c r="AD153" t="s">
        <v>942</v>
      </c>
      <c r="AE153" t="s">
        <v>44</v>
      </c>
      <c r="AF153" t="s">
        <v>44</v>
      </c>
      <c r="AG153" t="s">
        <v>44</v>
      </c>
      <c r="AH153" s="21">
        <v>43669</v>
      </c>
      <c r="AK153" t="s">
        <v>248</v>
      </c>
    </row>
    <row r="154" spans="1:38" x14ac:dyDescent="0.3">
      <c r="A154" t="s">
        <v>1025</v>
      </c>
      <c r="B154" t="s">
        <v>45</v>
      </c>
      <c r="C154" t="s">
        <v>43</v>
      </c>
      <c r="D154" t="s">
        <v>1026</v>
      </c>
      <c r="E154" t="s">
        <v>44</v>
      </c>
      <c r="G154" t="s">
        <v>44</v>
      </c>
      <c r="H154" s="1" t="s">
        <v>44</v>
      </c>
      <c r="I154" t="s">
        <v>44</v>
      </c>
      <c r="J154" s="11" t="s">
        <v>82</v>
      </c>
      <c r="L154" t="s">
        <v>44</v>
      </c>
      <c r="M154" t="s">
        <v>44</v>
      </c>
      <c r="P154" t="s">
        <v>1027</v>
      </c>
      <c r="Q154" t="s">
        <v>44</v>
      </c>
      <c r="R154" s="6" t="s">
        <v>44</v>
      </c>
      <c r="T154" s="16" t="s">
        <v>44</v>
      </c>
      <c r="U154" t="s">
        <v>44</v>
      </c>
      <c r="V154" t="s">
        <v>44</v>
      </c>
      <c r="W154" s="16" t="s">
        <v>1029</v>
      </c>
      <c r="Y154" s="21">
        <v>43669</v>
      </c>
      <c r="Z154" s="22">
        <v>0.40887731481481482</v>
      </c>
      <c r="AB154" t="s">
        <v>44</v>
      </c>
      <c r="AC154" t="s">
        <v>66</v>
      </c>
      <c r="AD154" s="21">
        <v>43669</v>
      </c>
      <c r="AE154" t="s">
        <v>44</v>
      </c>
      <c r="AF154" t="s">
        <v>44</v>
      </c>
      <c r="AG154" t="s">
        <v>44</v>
      </c>
      <c r="AH154" s="21">
        <v>43669</v>
      </c>
      <c r="AK154" t="s">
        <v>248</v>
      </c>
      <c r="AL154" t="s">
        <v>1030</v>
      </c>
    </row>
    <row r="155" spans="1:38" x14ac:dyDescent="0.3">
      <c r="A155" t="s">
        <v>1031</v>
      </c>
      <c r="B155" t="s">
        <v>937</v>
      </c>
      <c r="C155" t="s">
        <v>43</v>
      </c>
      <c r="D155" t="s">
        <v>1032</v>
      </c>
      <c r="E155" t="s">
        <v>44</v>
      </c>
      <c r="G155" t="s">
        <v>44</v>
      </c>
      <c r="H155" s="1" t="s">
        <v>44</v>
      </c>
      <c r="I155" t="s">
        <v>44</v>
      </c>
      <c r="J155" s="11" t="s">
        <v>82</v>
      </c>
      <c r="L155" t="s">
        <v>44</v>
      </c>
      <c r="M155" t="s">
        <v>44</v>
      </c>
      <c r="P155" t="s">
        <v>1033</v>
      </c>
      <c r="Q155" t="s">
        <v>44</v>
      </c>
      <c r="R155" s="6" t="s">
        <v>44</v>
      </c>
      <c r="T155" s="16" t="s">
        <v>44</v>
      </c>
      <c r="U155" t="s">
        <v>44</v>
      </c>
      <c r="V155" t="s">
        <v>44</v>
      </c>
      <c r="W155" s="16" t="s">
        <v>1034</v>
      </c>
      <c r="Y155" s="21">
        <v>43669</v>
      </c>
      <c r="Z155" s="22">
        <v>0.62577546296296294</v>
      </c>
      <c r="AB155" t="s">
        <v>44</v>
      </c>
      <c r="AC155" t="s">
        <v>66</v>
      </c>
      <c r="AD155" s="21">
        <v>43669</v>
      </c>
      <c r="AE155" t="s">
        <v>44</v>
      </c>
      <c r="AF155" t="s">
        <v>44</v>
      </c>
      <c r="AG155" t="s">
        <v>44</v>
      </c>
      <c r="AH155" s="21">
        <v>43668</v>
      </c>
      <c r="AK155" t="s">
        <v>263</v>
      </c>
      <c r="AL155" t="s">
        <v>1042</v>
      </c>
    </row>
    <row r="156" spans="1:38" x14ac:dyDescent="0.3">
      <c r="A156" t="s">
        <v>1035</v>
      </c>
      <c r="B156" t="s">
        <v>161</v>
      </c>
      <c r="C156" t="s">
        <v>43</v>
      </c>
      <c r="D156" t="s">
        <v>1036</v>
      </c>
      <c r="E156" t="s">
        <v>44</v>
      </c>
      <c r="F156" t="s">
        <v>44</v>
      </c>
      <c r="G156" t="s">
        <v>44</v>
      </c>
      <c r="H156" s="1" t="s">
        <v>44</v>
      </c>
      <c r="I156" t="s">
        <v>44</v>
      </c>
      <c r="J156" s="11" t="s">
        <v>82</v>
      </c>
      <c r="K156" t="s">
        <v>44</v>
      </c>
      <c r="L156" t="s">
        <v>44</v>
      </c>
      <c r="M156" t="s">
        <v>44</v>
      </c>
      <c r="N156" t="s">
        <v>44</v>
      </c>
      <c r="P156" t="s">
        <v>1037</v>
      </c>
      <c r="Q156" t="s">
        <v>44</v>
      </c>
      <c r="R156" s="6" t="s">
        <v>44</v>
      </c>
      <c r="T156" s="16" t="s">
        <v>44</v>
      </c>
      <c r="U156" t="s">
        <v>44</v>
      </c>
      <c r="V156" t="s">
        <v>44</v>
      </c>
      <c r="W156" s="16" t="s">
        <v>1038</v>
      </c>
      <c r="Y156" s="21">
        <v>43669</v>
      </c>
      <c r="Z156" s="22">
        <v>0.62853009259259263</v>
      </c>
      <c r="AA156" t="s">
        <v>44</v>
      </c>
      <c r="AB156" t="s">
        <v>44</v>
      </c>
      <c r="AC156" t="s">
        <v>66</v>
      </c>
      <c r="AD156" t="s">
        <v>1028</v>
      </c>
      <c r="AE156" t="s">
        <v>44</v>
      </c>
      <c r="AF156" t="s">
        <v>44</v>
      </c>
      <c r="AG156" t="s">
        <v>44</v>
      </c>
      <c r="AH156" s="21">
        <v>43669</v>
      </c>
      <c r="AK156" t="s">
        <v>263</v>
      </c>
    </row>
    <row r="157" spans="1:38" x14ac:dyDescent="0.3">
      <c r="A157" t="s">
        <v>1039</v>
      </c>
      <c r="B157" t="s">
        <v>45</v>
      </c>
      <c r="C157" t="s">
        <v>43</v>
      </c>
      <c r="D157" t="s">
        <v>1040</v>
      </c>
      <c r="E157" t="s">
        <v>302</v>
      </c>
      <c r="F157" t="s">
        <v>44</v>
      </c>
      <c r="G157" t="s">
        <v>44</v>
      </c>
      <c r="H157" s="1" t="s">
        <v>44</v>
      </c>
      <c r="I157" t="s">
        <v>44</v>
      </c>
      <c r="J157" s="11" t="s">
        <v>82</v>
      </c>
      <c r="K157" t="s">
        <v>44</v>
      </c>
      <c r="L157" t="s">
        <v>44</v>
      </c>
      <c r="M157" t="s">
        <v>44</v>
      </c>
      <c r="N157" t="s">
        <v>44</v>
      </c>
      <c r="P157" t="s">
        <v>452</v>
      </c>
      <c r="Q157" t="s">
        <v>44</v>
      </c>
      <c r="R157" s="6" t="s">
        <v>542</v>
      </c>
      <c r="T157" s="16" t="s">
        <v>44</v>
      </c>
      <c r="U157" t="s">
        <v>44</v>
      </c>
      <c r="V157" t="s">
        <v>44</v>
      </c>
      <c r="W157" s="16" t="s">
        <v>1041</v>
      </c>
      <c r="Y157" s="21">
        <v>43669</v>
      </c>
      <c r="Z157" s="22">
        <v>0.63173611111111116</v>
      </c>
      <c r="AA157" t="s">
        <v>44</v>
      </c>
      <c r="AB157" t="s">
        <v>44</v>
      </c>
      <c r="AC157" t="s">
        <v>66</v>
      </c>
      <c r="AD157" t="s">
        <v>1028</v>
      </c>
      <c r="AE157" t="s">
        <v>44</v>
      </c>
      <c r="AF157" t="s">
        <v>44</v>
      </c>
      <c r="AG157" t="s">
        <v>44</v>
      </c>
      <c r="AH157" s="21">
        <v>43669</v>
      </c>
      <c r="AK157" t="s">
        <v>248</v>
      </c>
    </row>
    <row r="158" spans="1:38" x14ac:dyDescent="0.3">
      <c r="A158" t="s">
        <v>1043</v>
      </c>
      <c r="B158" t="s">
        <v>45</v>
      </c>
      <c r="C158" t="s">
        <v>43</v>
      </c>
      <c r="D158" t="s">
        <v>1044</v>
      </c>
      <c r="E158" t="s">
        <v>353</v>
      </c>
      <c r="F158" t="s">
        <v>44</v>
      </c>
      <c r="G158" t="s">
        <v>44</v>
      </c>
      <c r="H158" s="1" t="s">
        <v>44</v>
      </c>
      <c r="I158" t="s">
        <v>44</v>
      </c>
      <c r="J158" s="11" t="s">
        <v>82</v>
      </c>
      <c r="K158" t="s">
        <v>44</v>
      </c>
      <c r="L158" t="s">
        <v>44</v>
      </c>
      <c r="M158" t="s">
        <v>44</v>
      </c>
      <c r="N158" t="s">
        <v>44</v>
      </c>
      <c r="P158" t="s">
        <v>1045</v>
      </c>
      <c r="Q158" t="s">
        <v>44</v>
      </c>
      <c r="R158" s="6" t="s">
        <v>44</v>
      </c>
      <c r="T158" s="16" t="s">
        <v>44</v>
      </c>
      <c r="U158" t="s">
        <v>44</v>
      </c>
      <c r="V158" t="s">
        <v>44</v>
      </c>
      <c r="W158" s="16" t="s">
        <v>1046</v>
      </c>
      <c r="Y158" s="21">
        <v>43669</v>
      </c>
      <c r="Z158" s="22">
        <v>0.65208333333333335</v>
      </c>
      <c r="AA158" t="s">
        <v>44</v>
      </c>
      <c r="AB158" t="s">
        <v>44</v>
      </c>
      <c r="AC158" t="s">
        <v>66</v>
      </c>
      <c r="AD158" t="s">
        <v>1028</v>
      </c>
      <c r="AE158" t="s">
        <v>44</v>
      </c>
      <c r="AF158" t="s">
        <v>44</v>
      </c>
      <c r="AG158" t="s">
        <v>44</v>
      </c>
      <c r="AH158" s="21">
        <v>43669</v>
      </c>
      <c r="AK158" t="s">
        <v>263</v>
      </c>
    </row>
    <row r="159" spans="1:38" x14ac:dyDescent="0.3">
      <c r="A159" t="s">
        <v>1047</v>
      </c>
      <c r="B159" t="s">
        <v>45</v>
      </c>
      <c r="C159" t="s">
        <v>43</v>
      </c>
      <c r="D159" t="s">
        <v>1048</v>
      </c>
      <c r="E159" t="s">
        <v>294</v>
      </c>
      <c r="G159" t="s">
        <v>44</v>
      </c>
      <c r="H159" s="1" t="s">
        <v>44</v>
      </c>
      <c r="I159" t="s">
        <v>44</v>
      </c>
      <c r="J159" s="11" t="s">
        <v>82</v>
      </c>
      <c r="L159" t="s">
        <v>44</v>
      </c>
      <c r="M159" t="s">
        <v>44</v>
      </c>
      <c r="P159" t="s">
        <v>1049</v>
      </c>
      <c r="Q159" t="s">
        <v>44</v>
      </c>
      <c r="R159" s="6" t="s">
        <v>44</v>
      </c>
      <c r="T159" s="16" t="s">
        <v>44</v>
      </c>
      <c r="U159" t="s">
        <v>44</v>
      </c>
      <c r="V159" t="s">
        <v>44</v>
      </c>
      <c r="W159" s="16" t="s">
        <v>1073</v>
      </c>
      <c r="Y159" s="21">
        <v>43669</v>
      </c>
      <c r="Z159" s="22">
        <v>0.65451388888888895</v>
      </c>
      <c r="AB159" t="s">
        <v>44</v>
      </c>
      <c r="AC159" t="s">
        <v>66</v>
      </c>
      <c r="AD159" s="21">
        <v>43670</v>
      </c>
      <c r="AE159" t="s">
        <v>44</v>
      </c>
      <c r="AF159" t="s">
        <v>44</v>
      </c>
      <c r="AG159" t="s">
        <v>44</v>
      </c>
      <c r="AH159" s="21">
        <v>43670</v>
      </c>
      <c r="AK159" t="s">
        <v>248</v>
      </c>
      <c r="AL159" t="s">
        <v>1074</v>
      </c>
    </row>
    <row r="160" spans="1:38" x14ac:dyDescent="0.3">
      <c r="A160" t="s">
        <v>1050</v>
      </c>
      <c r="B160" t="s">
        <v>45</v>
      </c>
      <c r="C160" t="s">
        <v>43</v>
      </c>
      <c r="D160" t="s">
        <v>1051</v>
      </c>
      <c r="E160" t="s">
        <v>44</v>
      </c>
      <c r="F160" t="s">
        <v>44</v>
      </c>
      <c r="G160" t="s">
        <v>44</v>
      </c>
      <c r="H160" s="1" t="s">
        <v>44</v>
      </c>
      <c r="I160" t="s">
        <v>44</v>
      </c>
      <c r="J160" s="11" t="s">
        <v>82</v>
      </c>
      <c r="K160" t="s">
        <v>44</v>
      </c>
      <c r="L160" t="s">
        <v>44</v>
      </c>
      <c r="M160" t="s">
        <v>44</v>
      </c>
      <c r="N160" t="s">
        <v>44</v>
      </c>
      <c r="P160" t="s">
        <v>1052</v>
      </c>
      <c r="Q160" t="s">
        <v>44</v>
      </c>
      <c r="R160" s="6" t="s">
        <v>44</v>
      </c>
      <c r="T160" s="16" t="s">
        <v>44</v>
      </c>
      <c r="U160" t="s">
        <v>44</v>
      </c>
      <c r="V160" t="s">
        <v>44</v>
      </c>
      <c r="W160" s="16" t="s">
        <v>739</v>
      </c>
      <c r="Y160" s="21">
        <v>43669</v>
      </c>
      <c r="Z160" s="22">
        <v>0.65983796296296293</v>
      </c>
      <c r="AA160" t="s">
        <v>44</v>
      </c>
      <c r="AB160" t="s">
        <v>44</v>
      </c>
      <c r="AC160" t="s">
        <v>66</v>
      </c>
      <c r="AD160" t="s">
        <v>1028</v>
      </c>
      <c r="AE160" t="s">
        <v>44</v>
      </c>
      <c r="AF160" t="s">
        <v>44</v>
      </c>
      <c r="AG160" t="s">
        <v>44</v>
      </c>
      <c r="AH160" s="21">
        <v>43684</v>
      </c>
      <c r="AK160" t="s">
        <v>248</v>
      </c>
    </row>
    <row r="161" spans="1:38" x14ac:dyDescent="0.3">
      <c r="A161" t="s">
        <v>1053</v>
      </c>
      <c r="B161" t="s">
        <v>45</v>
      </c>
      <c r="C161" t="s">
        <v>43</v>
      </c>
      <c r="D161" t="s">
        <v>1054</v>
      </c>
      <c r="E161" t="s">
        <v>1055</v>
      </c>
      <c r="F161" t="s">
        <v>44</v>
      </c>
      <c r="G161" t="s">
        <v>44</v>
      </c>
      <c r="H161" s="1" t="s">
        <v>44</v>
      </c>
      <c r="I161" t="s">
        <v>44</v>
      </c>
      <c r="J161" s="11" t="s">
        <v>82</v>
      </c>
      <c r="K161" t="s">
        <v>44</v>
      </c>
      <c r="L161" t="s">
        <v>44</v>
      </c>
      <c r="M161" t="s">
        <v>44</v>
      </c>
      <c r="N161" t="s">
        <v>44</v>
      </c>
      <c r="P161" t="s">
        <v>1056</v>
      </c>
      <c r="Q161" t="s">
        <v>44</v>
      </c>
      <c r="R161" s="6" t="s">
        <v>44</v>
      </c>
      <c r="T161" s="16" t="s">
        <v>44</v>
      </c>
      <c r="U161" t="s">
        <v>44</v>
      </c>
      <c r="V161" t="s">
        <v>44</v>
      </c>
      <c r="W161" s="16" t="s">
        <v>1057</v>
      </c>
      <c r="Y161" s="21">
        <v>43669</v>
      </c>
      <c r="Z161" s="22">
        <v>0.66531249999999997</v>
      </c>
      <c r="AA161" t="s">
        <v>44</v>
      </c>
      <c r="AB161" t="s">
        <v>44</v>
      </c>
      <c r="AC161" t="s">
        <v>66</v>
      </c>
      <c r="AD161" t="s">
        <v>1028</v>
      </c>
      <c r="AE161" t="s">
        <v>44</v>
      </c>
      <c r="AF161" t="s">
        <v>44</v>
      </c>
      <c r="AG161" t="s">
        <v>44</v>
      </c>
      <c r="AH161" s="21">
        <v>43675</v>
      </c>
      <c r="AK161" t="s">
        <v>248</v>
      </c>
    </row>
    <row r="162" spans="1:38" x14ac:dyDescent="0.3">
      <c r="A162" t="s">
        <v>1058</v>
      </c>
      <c r="B162" t="s">
        <v>45</v>
      </c>
      <c r="C162" t="s">
        <v>43</v>
      </c>
      <c r="D162" t="s">
        <v>1059</v>
      </c>
      <c r="E162" t="s">
        <v>229</v>
      </c>
      <c r="F162" t="s">
        <v>44</v>
      </c>
      <c r="G162" t="s">
        <v>44</v>
      </c>
      <c r="H162" s="1" t="s">
        <v>44</v>
      </c>
      <c r="I162" t="s">
        <v>44</v>
      </c>
      <c r="J162" s="11" t="s">
        <v>82</v>
      </c>
      <c r="K162" t="s">
        <v>44</v>
      </c>
      <c r="L162" t="s">
        <v>44</v>
      </c>
      <c r="M162" t="s">
        <v>44</v>
      </c>
      <c r="N162" t="s">
        <v>44</v>
      </c>
      <c r="P162" t="s">
        <v>1060</v>
      </c>
      <c r="Q162" t="s">
        <v>44</v>
      </c>
      <c r="R162" s="6" t="s">
        <v>1061</v>
      </c>
      <c r="T162" s="16" t="s">
        <v>44</v>
      </c>
      <c r="U162" t="s">
        <v>44</v>
      </c>
      <c r="V162" t="s">
        <v>44</v>
      </c>
      <c r="W162" s="16" t="s">
        <v>1062</v>
      </c>
      <c r="Y162" s="21">
        <v>43669</v>
      </c>
      <c r="Z162" s="22">
        <v>0.67371527777777773</v>
      </c>
      <c r="AA162" t="s">
        <v>44</v>
      </c>
      <c r="AB162" t="s">
        <v>44</v>
      </c>
      <c r="AC162" t="s">
        <v>66</v>
      </c>
      <c r="AD162" t="s">
        <v>1028</v>
      </c>
      <c r="AE162" t="s">
        <v>44</v>
      </c>
      <c r="AF162" t="s">
        <v>44</v>
      </c>
      <c r="AG162" t="s">
        <v>44</v>
      </c>
      <c r="AH162" s="21">
        <v>43672</v>
      </c>
      <c r="AK162" t="s">
        <v>248</v>
      </c>
    </row>
    <row r="163" spans="1:38" x14ac:dyDescent="0.3">
      <c r="A163" t="s">
        <v>1063</v>
      </c>
      <c r="B163" t="s">
        <v>45</v>
      </c>
      <c r="C163" t="s">
        <v>43</v>
      </c>
      <c r="D163" t="s">
        <v>1064</v>
      </c>
      <c r="E163" t="s">
        <v>1065</v>
      </c>
      <c r="F163" t="s">
        <v>51</v>
      </c>
      <c r="G163" t="s">
        <v>204</v>
      </c>
      <c r="H163" s="1" t="s">
        <v>44</v>
      </c>
      <c r="I163" t="s">
        <v>44</v>
      </c>
      <c r="J163" s="11" t="s">
        <v>1069</v>
      </c>
      <c r="L163" t="s">
        <v>44</v>
      </c>
      <c r="M163" t="s">
        <v>44</v>
      </c>
      <c r="P163" t="s">
        <v>1066</v>
      </c>
      <c r="Q163" t="s">
        <v>44</v>
      </c>
      <c r="R163" s="6" t="s">
        <v>1067</v>
      </c>
      <c r="T163" s="16" t="s">
        <v>1060</v>
      </c>
      <c r="U163" t="s">
        <v>44</v>
      </c>
      <c r="V163" t="s">
        <v>44</v>
      </c>
      <c r="W163" s="16" t="s">
        <v>1068</v>
      </c>
      <c r="Y163" s="21">
        <v>43669</v>
      </c>
      <c r="Z163" s="22">
        <v>0.69664351851851858</v>
      </c>
      <c r="AA163" t="s">
        <v>53</v>
      </c>
      <c r="AB163" t="s">
        <v>402</v>
      </c>
      <c r="AC163" t="s">
        <v>54</v>
      </c>
      <c r="AD163" s="21">
        <v>43669</v>
      </c>
      <c r="AE163" t="s">
        <v>44</v>
      </c>
      <c r="AF163" t="s">
        <v>44</v>
      </c>
      <c r="AG163" t="s">
        <v>44</v>
      </c>
      <c r="AH163" s="21">
        <v>43671</v>
      </c>
      <c r="AK163" t="s">
        <v>248</v>
      </c>
      <c r="AL163" t="s">
        <v>1070</v>
      </c>
    </row>
    <row r="164" spans="1:38" x14ac:dyDescent="0.3">
      <c r="A164" t="s">
        <v>1075</v>
      </c>
      <c r="B164" t="s">
        <v>45</v>
      </c>
      <c r="C164" t="s">
        <v>43</v>
      </c>
      <c r="D164" t="s">
        <v>1076</v>
      </c>
      <c r="E164" t="s">
        <v>1077</v>
      </c>
      <c r="F164" t="s">
        <v>44</v>
      </c>
      <c r="G164" t="s">
        <v>44</v>
      </c>
      <c r="H164" s="1" t="s">
        <v>44</v>
      </c>
      <c r="I164" t="s">
        <v>44</v>
      </c>
      <c r="J164" s="11" t="s">
        <v>82</v>
      </c>
      <c r="K164" t="s">
        <v>44</v>
      </c>
      <c r="L164" t="s">
        <v>44</v>
      </c>
      <c r="M164" t="s">
        <v>44</v>
      </c>
      <c r="N164" t="s">
        <v>44</v>
      </c>
      <c r="P164" t="s">
        <v>1078</v>
      </c>
      <c r="Q164" t="s">
        <v>44</v>
      </c>
      <c r="R164" s="6" t="s">
        <v>1079</v>
      </c>
      <c r="T164" s="16" t="s">
        <v>44</v>
      </c>
      <c r="U164" t="s">
        <v>44</v>
      </c>
      <c r="V164" t="s">
        <v>44</v>
      </c>
      <c r="W164" s="16" t="s">
        <v>1080</v>
      </c>
      <c r="Y164" s="21">
        <v>43670</v>
      </c>
      <c r="Z164" s="22">
        <v>0.4443981481481481</v>
      </c>
      <c r="AA164" t="s">
        <v>44</v>
      </c>
      <c r="AB164" t="s">
        <v>44</v>
      </c>
      <c r="AC164" t="s">
        <v>66</v>
      </c>
      <c r="AD164" t="s">
        <v>1081</v>
      </c>
      <c r="AE164" t="s">
        <v>44</v>
      </c>
      <c r="AF164" t="s">
        <v>44</v>
      </c>
      <c r="AG164" t="s">
        <v>44</v>
      </c>
      <c r="AH164" s="21">
        <v>43675</v>
      </c>
      <c r="AK164" t="s">
        <v>248</v>
      </c>
    </row>
    <row r="165" spans="1:38" x14ac:dyDescent="0.3">
      <c r="A165" t="s">
        <v>1082</v>
      </c>
      <c r="B165" t="s">
        <v>45</v>
      </c>
      <c r="C165" t="s">
        <v>43</v>
      </c>
      <c r="D165" t="s">
        <v>1083</v>
      </c>
      <c r="E165" t="s">
        <v>1084</v>
      </c>
      <c r="F165" t="s">
        <v>199</v>
      </c>
      <c r="G165" t="s">
        <v>44</v>
      </c>
      <c r="H165" s="1" t="s">
        <v>44</v>
      </c>
      <c r="I165" t="s">
        <v>44</v>
      </c>
      <c r="J165" s="11" t="s">
        <v>82</v>
      </c>
      <c r="K165" t="s">
        <v>44</v>
      </c>
      <c r="L165" t="s">
        <v>44</v>
      </c>
      <c r="M165" t="s">
        <v>44</v>
      </c>
      <c r="N165" t="s">
        <v>44</v>
      </c>
      <c r="P165" t="s">
        <v>1085</v>
      </c>
      <c r="Q165" t="s">
        <v>44</v>
      </c>
      <c r="R165" s="6" t="s">
        <v>44</v>
      </c>
      <c r="T165" s="16" t="s">
        <v>44</v>
      </c>
      <c r="U165" t="s">
        <v>44</v>
      </c>
      <c r="V165" t="s">
        <v>44</v>
      </c>
      <c r="W165" s="16" t="s">
        <v>1086</v>
      </c>
      <c r="Y165" s="21">
        <v>43670</v>
      </c>
      <c r="Z165" s="22">
        <v>0.44914351851851847</v>
      </c>
      <c r="AA165" t="s">
        <v>44</v>
      </c>
      <c r="AB165" t="s">
        <v>44</v>
      </c>
      <c r="AC165" t="s">
        <v>66</v>
      </c>
      <c r="AD165" t="s">
        <v>1081</v>
      </c>
      <c r="AE165" t="s">
        <v>44</v>
      </c>
      <c r="AF165" t="s">
        <v>44</v>
      </c>
      <c r="AG165" t="s">
        <v>44</v>
      </c>
      <c r="AH165" s="21">
        <v>44036</v>
      </c>
      <c r="AK165" t="s">
        <v>248</v>
      </c>
    </row>
    <row r="166" spans="1:38" x14ac:dyDescent="0.3">
      <c r="A166" t="s">
        <v>1087</v>
      </c>
      <c r="B166" t="s">
        <v>45</v>
      </c>
      <c r="C166" t="s">
        <v>43</v>
      </c>
      <c r="D166" t="s">
        <v>1088</v>
      </c>
      <c r="E166" t="s">
        <v>380</v>
      </c>
      <c r="F166" t="s">
        <v>199</v>
      </c>
      <c r="G166" t="s">
        <v>44</v>
      </c>
      <c r="H166" s="1" t="s">
        <v>44</v>
      </c>
      <c r="I166" t="s">
        <v>44</v>
      </c>
      <c r="J166" s="11" t="s">
        <v>82</v>
      </c>
      <c r="K166" t="s">
        <v>44</v>
      </c>
      <c r="L166" t="s">
        <v>44</v>
      </c>
      <c r="M166" t="s">
        <v>44</v>
      </c>
      <c r="N166" t="s">
        <v>44</v>
      </c>
      <c r="P166" t="s">
        <v>1089</v>
      </c>
      <c r="Q166" t="s">
        <v>44</v>
      </c>
      <c r="R166" s="6" t="s">
        <v>44</v>
      </c>
      <c r="T166" s="16" t="s">
        <v>44</v>
      </c>
      <c r="U166" t="s">
        <v>44</v>
      </c>
      <c r="V166" t="s">
        <v>44</v>
      </c>
      <c r="W166" s="16" t="s">
        <v>1090</v>
      </c>
      <c r="Y166" s="21">
        <v>43670</v>
      </c>
      <c r="Z166" s="22">
        <v>0.45483796296296292</v>
      </c>
      <c r="AA166" t="s">
        <v>44</v>
      </c>
      <c r="AB166" t="s">
        <v>44</v>
      </c>
      <c r="AC166" t="s">
        <v>66</v>
      </c>
      <c r="AD166" t="s">
        <v>1081</v>
      </c>
      <c r="AE166" t="s">
        <v>44</v>
      </c>
      <c r="AF166" t="s">
        <v>44</v>
      </c>
      <c r="AG166" t="s">
        <v>44</v>
      </c>
      <c r="AH166" s="21">
        <v>43670</v>
      </c>
      <c r="AK166" t="s">
        <v>248</v>
      </c>
    </row>
    <row r="167" spans="1:38" x14ac:dyDescent="0.3">
      <c r="A167" s="20" t="s">
        <v>1091</v>
      </c>
      <c r="B167" t="s">
        <v>45</v>
      </c>
      <c r="C167" t="s">
        <v>43</v>
      </c>
      <c r="D167" s="26" t="s">
        <v>1092</v>
      </c>
      <c r="E167" t="s">
        <v>44</v>
      </c>
      <c r="F167" t="s">
        <v>1097</v>
      </c>
      <c r="G167" t="s">
        <v>82</v>
      </c>
      <c r="I167" t="s">
        <v>44</v>
      </c>
      <c r="J167" s="11" t="s">
        <v>44</v>
      </c>
      <c r="L167" t="s">
        <v>44</v>
      </c>
      <c r="N167" t="s">
        <v>44</v>
      </c>
      <c r="P167" s="26" t="s">
        <v>1094</v>
      </c>
      <c r="Q167" t="s">
        <v>44</v>
      </c>
      <c r="R167" s="26" t="s">
        <v>1093</v>
      </c>
      <c r="S167" t="s">
        <v>44</v>
      </c>
      <c r="T167" s="25"/>
      <c r="U167" t="s">
        <v>44</v>
      </c>
      <c r="V167" t="s">
        <v>44</v>
      </c>
      <c r="W167" s="16" t="s">
        <v>1095</v>
      </c>
      <c r="Y167" s="21">
        <v>43670</v>
      </c>
      <c r="Z167" s="22"/>
      <c r="AA167" s="21"/>
      <c r="AB167" t="s">
        <v>44</v>
      </c>
      <c r="AC167" s="22" t="s">
        <v>66</v>
      </c>
      <c r="AD167" s="21">
        <v>43670</v>
      </c>
      <c r="AE167" s="21"/>
      <c r="AF167" t="s">
        <v>44</v>
      </c>
      <c r="AG167" t="s">
        <v>44</v>
      </c>
      <c r="AH167" s="21"/>
      <c r="AL167" s="26" t="s">
        <v>1096</v>
      </c>
    </row>
    <row r="168" spans="1:38" x14ac:dyDescent="0.3">
      <c r="A168" t="s">
        <v>1098</v>
      </c>
      <c r="B168" t="s">
        <v>161</v>
      </c>
      <c r="C168" t="s">
        <v>43</v>
      </c>
      <c r="D168" t="s">
        <v>1099</v>
      </c>
      <c r="E168" t="s">
        <v>1100</v>
      </c>
      <c r="F168" t="s">
        <v>199</v>
      </c>
      <c r="G168" t="s">
        <v>44</v>
      </c>
      <c r="H168" s="1" t="s">
        <v>44</v>
      </c>
      <c r="I168" t="s">
        <v>44</v>
      </c>
      <c r="J168" s="11" t="s">
        <v>82</v>
      </c>
      <c r="K168" t="s">
        <v>44</v>
      </c>
      <c r="L168" t="s">
        <v>44</v>
      </c>
      <c r="M168" t="s">
        <v>44</v>
      </c>
      <c r="N168" t="s">
        <v>44</v>
      </c>
      <c r="P168" t="s">
        <v>1101</v>
      </c>
      <c r="Q168" t="s">
        <v>44</v>
      </c>
      <c r="R168" s="6" t="s">
        <v>44</v>
      </c>
      <c r="T168" s="16" t="s">
        <v>44</v>
      </c>
      <c r="U168" t="s">
        <v>44</v>
      </c>
      <c r="V168" t="s">
        <v>44</v>
      </c>
      <c r="W168" s="16" t="s">
        <v>1102</v>
      </c>
      <c r="Y168" s="21">
        <v>43670</v>
      </c>
      <c r="Z168" s="22">
        <v>0.47646990740740741</v>
      </c>
      <c r="AA168" t="s">
        <v>44</v>
      </c>
      <c r="AB168" t="s">
        <v>44</v>
      </c>
      <c r="AC168" t="s">
        <v>66</v>
      </c>
      <c r="AD168" t="s">
        <v>1081</v>
      </c>
      <c r="AE168" t="s">
        <v>44</v>
      </c>
      <c r="AF168" t="s">
        <v>44</v>
      </c>
      <c r="AG168" t="s">
        <v>44</v>
      </c>
      <c r="AH168" s="21">
        <v>43670</v>
      </c>
      <c r="AK168" t="s">
        <v>263</v>
      </c>
    </row>
    <row r="169" spans="1:38" x14ac:dyDescent="0.3">
      <c r="A169" t="s">
        <v>1103</v>
      </c>
      <c r="B169" t="s">
        <v>45</v>
      </c>
      <c r="C169" t="s">
        <v>43</v>
      </c>
      <c r="D169" t="s">
        <v>1104</v>
      </c>
      <c r="E169" t="s">
        <v>44</v>
      </c>
      <c r="F169" t="s">
        <v>44</v>
      </c>
      <c r="G169" t="s">
        <v>44</v>
      </c>
      <c r="H169" s="1" t="s">
        <v>44</v>
      </c>
      <c r="I169" t="s">
        <v>44</v>
      </c>
      <c r="J169" s="11" t="s">
        <v>82</v>
      </c>
      <c r="K169" t="s">
        <v>44</v>
      </c>
      <c r="L169" t="s">
        <v>44</v>
      </c>
      <c r="M169" t="s">
        <v>44</v>
      </c>
      <c r="N169" t="s">
        <v>44</v>
      </c>
      <c r="P169" t="s">
        <v>1105</v>
      </c>
      <c r="Q169" t="s">
        <v>44</v>
      </c>
      <c r="R169" s="6" t="s">
        <v>44</v>
      </c>
      <c r="T169" s="16" t="s">
        <v>44</v>
      </c>
      <c r="U169" t="s">
        <v>44</v>
      </c>
      <c r="V169" t="s">
        <v>44</v>
      </c>
      <c r="W169" s="16" t="s">
        <v>739</v>
      </c>
      <c r="Y169" s="21">
        <v>43670</v>
      </c>
      <c r="Z169" s="22">
        <v>0.47771990740740744</v>
      </c>
      <c r="AA169" t="s">
        <v>44</v>
      </c>
      <c r="AB169" t="s">
        <v>44</v>
      </c>
      <c r="AC169" t="s">
        <v>66</v>
      </c>
      <c r="AD169" t="s">
        <v>1081</v>
      </c>
      <c r="AE169" t="s">
        <v>44</v>
      </c>
      <c r="AF169" t="s">
        <v>44</v>
      </c>
      <c r="AG169" t="s">
        <v>44</v>
      </c>
      <c r="AH169" s="21">
        <v>43670</v>
      </c>
      <c r="AK169" t="s">
        <v>248</v>
      </c>
    </row>
    <row r="170" spans="1:38" x14ac:dyDescent="0.3">
      <c r="A170" t="s">
        <v>1106</v>
      </c>
      <c r="B170" t="s">
        <v>45</v>
      </c>
      <c r="C170" t="s">
        <v>43</v>
      </c>
      <c r="D170" t="s">
        <v>1107</v>
      </c>
      <c r="E170" t="s">
        <v>44</v>
      </c>
      <c r="F170" t="s">
        <v>44</v>
      </c>
      <c r="G170" t="s">
        <v>44</v>
      </c>
      <c r="H170" s="1" t="s">
        <v>44</v>
      </c>
      <c r="I170" t="s">
        <v>44</v>
      </c>
      <c r="J170" s="11" t="s">
        <v>82</v>
      </c>
      <c r="K170" t="s">
        <v>44</v>
      </c>
      <c r="L170" t="s">
        <v>44</v>
      </c>
      <c r="M170" t="s">
        <v>44</v>
      </c>
      <c r="N170" t="s">
        <v>44</v>
      </c>
      <c r="P170" t="s">
        <v>44</v>
      </c>
      <c r="Q170" t="s">
        <v>44</v>
      </c>
      <c r="R170" s="6" t="s">
        <v>1108</v>
      </c>
      <c r="T170" s="16" t="s">
        <v>44</v>
      </c>
      <c r="U170" t="s">
        <v>44</v>
      </c>
      <c r="V170" t="s">
        <v>44</v>
      </c>
      <c r="W170" s="16" t="s">
        <v>1109</v>
      </c>
      <c r="Y170" s="21">
        <v>43670</v>
      </c>
      <c r="Z170" s="22">
        <v>0.4932407407407407</v>
      </c>
      <c r="AA170" t="s">
        <v>44</v>
      </c>
      <c r="AB170" t="s">
        <v>44</v>
      </c>
      <c r="AC170" t="s">
        <v>66</v>
      </c>
      <c r="AD170" t="s">
        <v>1081</v>
      </c>
      <c r="AE170" t="s">
        <v>44</v>
      </c>
      <c r="AF170" t="s">
        <v>44</v>
      </c>
      <c r="AG170" t="s">
        <v>44</v>
      </c>
      <c r="AH170" s="21">
        <v>43685</v>
      </c>
      <c r="AK170" t="s">
        <v>248</v>
      </c>
    </row>
    <row r="171" spans="1:38" x14ac:dyDescent="0.3">
      <c r="A171" t="s">
        <v>1110</v>
      </c>
      <c r="B171" t="s">
        <v>45</v>
      </c>
      <c r="C171" t="s">
        <v>43</v>
      </c>
      <c r="D171" t="s">
        <v>1111</v>
      </c>
      <c r="E171" t="s">
        <v>1112</v>
      </c>
      <c r="F171" t="s">
        <v>51</v>
      </c>
      <c r="G171" t="s">
        <v>280</v>
      </c>
      <c r="H171" s="1" t="s">
        <v>44</v>
      </c>
      <c r="I171" t="s">
        <v>44</v>
      </c>
      <c r="J171" s="11" t="s">
        <v>82</v>
      </c>
      <c r="K171" t="s">
        <v>44</v>
      </c>
      <c r="L171" t="s">
        <v>44</v>
      </c>
      <c r="M171" t="s">
        <v>44</v>
      </c>
      <c r="N171" t="s">
        <v>44</v>
      </c>
      <c r="P171" t="s">
        <v>1113</v>
      </c>
      <c r="Q171" t="s">
        <v>44</v>
      </c>
      <c r="R171" s="6" t="s">
        <v>1114</v>
      </c>
      <c r="T171" s="16" t="s">
        <v>44</v>
      </c>
      <c r="U171" t="s">
        <v>44</v>
      </c>
      <c r="V171" t="s">
        <v>44</v>
      </c>
      <c r="W171" s="16" t="s">
        <v>1115</v>
      </c>
      <c r="Y171" s="21">
        <v>43670</v>
      </c>
      <c r="Z171" s="22">
        <v>0.49762731481481487</v>
      </c>
      <c r="AA171" t="s">
        <v>6</v>
      </c>
      <c r="AB171" t="s">
        <v>44</v>
      </c>
      <c r="AC171" t="s">
        <v>66</v>
      </c>
      <c r="AD171" t="s">
        <v>1081</v>
      </c>
      <c r="AE171" t="s">
        <v>44</v>
      </c>
      <c r="AF171" t="s">
        <v>44</v>
      </c>
      <c r="AG171" t="s">
        <v>44</v>
      </c>
      <c r="AH171" s="21">
        <v>43672</v>
      </c>
      <c r="AK171" t="s">
        <v>248</v>
      </c>
    </row>
    <row r="172" spans="1:38" x14ac:dyDescent="0.3">
      <c r="A172" t="s">
        <v>1116</v>
      </c>
      <c r="B172" t="s">
        <v>45</v>
      </c>
      <c r="C172" t="s">
        <v>43</v>
      </c>
      <c r="D172" t="s">
        <v>1117</v>
      </c>
      <c r="E172" t="s">
        <v>1118</v>
      </c>
      <c r="F172" t="s">
        <v>44</v>
      </c>
      <c r="G172" t="s">
        <v>44</v>
      </c>
      <c r="H172" s="1" t="s">
        <v>44</v>
      </c>
      <c r="I172" t="s">
        <v>44</v>
      </c>
      <c r="J172" s="11" t="s">
        <v>82</v>
      </c>
      <c r="K172" t="s">
        <v>44</v>
      </c>
      <c r="L172" t="s">
        <v>44</v>
      </c>
      <c r="M172" t="s">
        <v>44</v>
      </c>
      <c r="N172" t="s">
        <v>44</v>
      </c>
      <c r="P172" t="s">
        <v>1119</v>
      </c>
      <c r="Q172" t="s">
        <v>44</v>
      </c>
      <c r="R172" s="6" t="s">
        <v>44</v>
      </c>
      <c r="T172" s="16" t="s">
        <v>44</v>
      </c>
      <c r="U172" t="s">
        <v>44</v>
      </c>
      <c r="V172" t="s">
        <v>44</v>
      </c>
      <c r="W172" s="16" t="s">
        <v>1120</v>
      </c>
      <c r="Y172" s="21">
        <v>43670</v>
      </c>
      <c r="Z172" s="22">
        <v>0.57750000000000001</v>
      </c>
      <c r="AA172" t="s">
        <v>44</v>
      </c>
      <c r="AB172" t="s">
        <v>44</v>
      </c>
      <c r="AC172" t="s">
        <v>66</v>
      </c>
      <c r="AD172" t="s">
        <v>1081</v>
      </c>
      <c r="AE172" t="s">
        <v>44</v>
      </c>
      <c r="AF172" t="s">
        <v>44</v>
      </c>
      <c r="AG172" t="s">
        <v>44</v>
      </c>
      <c r="AH172" s="21">
        <v>43670</v>
      </c>
      <c r="AK172" t="s">
        <v>248</v>
      </c>
    </row>
    <row r="173" spans="1:38" x14ac:dyDescent="0.3">
      <c r="A173" t="s">
        <v>1121</v>
      </c>
      <c r="B173" t="s">
        <v>45</v>
      </c>
      <c r="C173" t="s">
        <v>43</v>
      </c>
      <c r="D173" t="s">
        <v>1122</v>
      </c>
      <c r="E173" t="s">
        <v>1123</v>
      </c>
      <c r="F173" t="s">
        <v>199</v>
      </c>
      <c r="G173" t="s">
        <v>44</v>
      </c>
      <c r="H173" s="1" t="s">
        <v>44</v>
      </c>
      <c r="I173" t="s">
        <v>44</v>
      </c>
      <c r="J173" s="11" t="s">
        <v>82</v>
      </c>
      <c r="K173" t="s">
        <v>44</v>
      </c>
      <c r="L173" t="s">
        <v>44</v>
      </c>
      <c r="M173" t="s">
        <v>44</v>
      </c>
      <c r="N173" t="s">
        <v>44</v>
      </c>
      <c r="P173" t="s">
        <v>1124</v>
      </c>
      <c r="Q173" t="s">
        <v>44</v>
      </c>
      <c r="R173" s="6" t="s">
        <v>44</v>
      </c>
      <c r="T173" s="16" t="s">
        <v>44</v>
      </c>
      <c r="U173" t="s">
        <v>44</v>
      </c>
      <c r="V173" t="s">
        <v>44</v>
      </c>
      <c r="W173" s="16" t="s">
        <v>1125</v>
      </c>
      <c r="Y173" s="21">
        <v>43670</v>
      </c>
      <c r="Z173" s="22">
        <v>0.59270833333333328</v>
      </c>
      <c r="AA173" t="s">
        <v>44</v>
      </c>
      <c r="AB173" t="s">
        <v>44</v>
      </c>
      <c r="AC173" t="s">
        <v>66</v>
      </c>
      <c r="AD173" t="s">
        <v>1081</v>
      </c>
      <c r="AE173" t="s">
        <v>44</v>
      </c>
      <c r="AF173" t="s">
        <v>44</v>
      </c>
      <c r="AG173" t="s">
        <v>44</v>
      </c>
      <c r="AH173" s="21">
        <v>43670</v>
      </c>
      <c r="AK173" t="s">
        <v>263</v>
      </c>
    </row>
    <row r="174" spans="1:38" ht="129.6" x14ac:dyDescent="0.3">
      <c r="A174" t="s">
        <v>1126</v>
      </c>
      <c r="B174" t="s">
        <v>45</v>
      </c>
      <c r="C174" t="s">
        <v>43</v>
      </c>
      <c r="D174" t="s">
        <v>1127</v>
      </c>
      <c r="E174" t="s">
        <v>1128</v>
      </c>
      <c r="F174" t="s">
        <v>51</v>
      </c>
      <c r="G174" t="s">
        <v>44</v>
      </c>
      <c r="H174" s="1" t="s">
        <v>44</v>
      </c>
      <c r="I174" t="s">
        <v>44</v>
      </c>
      <c r="J174" s="11" t="s">
        <v>82</v>
      </c>
      <c r="L174" t="s">
        <v>44</v>
      </c>
      <c r="M174" t="s">
        <v>44</v>
      </c>
      <c r="P174" t="s">
        <v>1129</v>
      </c>
      <c r="Q174" t="s">
        <v>44</v>
      </c>
      <c r="R174" s="6" t="s">
        <v>1130</v>
      </c>
      <c r="T174" s="16" t="s">
        <v>44</v>
      </c>
      <c r="U174" t="s">
        <v>44</v>
      </c>
      <c r="V174" t="s">
        <v>44</v>
      </c>
      <c r="W174" s="25" t="s">
        <v>1421</v>
      </c>
      <c r="Y174" s="21">
        <v>43670</v>
      </c>
      <c r="Z174" s="22">
        <v>0.59372685185185181</v>
      </c>
      <c r="AB174" t="s">
        <v>44</v>
      </c>
      <c r="AC174" t="s">
        <v>66</v>
      </c>
      <c r="AD174" s="21">
        <v>43735</v>
      </c>
      <c r="AE174" t="s">
        <v>44</v>
      </c>
      <c r="AF174" t="s">
        <v>44</v>
      </c>
      <c r="AG174" t="s">
        <v>44</v>
      </c>
      <c r="AH174" s="21">
        <v>43685</v>
      </c>
      <c r="AK174" t="s">
        <v>263</v>
      </c>
      <c r="AL174" t="s">
        <v>1422</v>
      </c>
    </row>
    <row r="175" spans="1:38" x14ac:dyDescent="0.3">
      <c r="A175" t="s">
        <v>1131</v>
      </c>
      <c r="B175" t="s">
        <v>45</v>
      </c>
      <c r="C175" t="s">
        <v>43</v>
      </c>
      <c r="D175" t="s">
        <v>1132</v>
      </c>
      <c r="E175" t="s">
        <v>44</v>
      </c>
      <c r="F175" t="s">
        <v>44</v>
      </c>
      <c r="G175" t="s">
        <v>44</v>
      </c>
      <c r="H175" s="1" t="s">
        <v>44</v>
      </c>
      <c r="I175" t="s">
        <v>44</v>
      </c>
      <c r="J175" s="11" t="s">
        <v>82</v>
      </c>
      <c r="K175" t="s">
        <v>44</v>
      </c>
      <c r="L175" t="s">
        <v>44</v>
      </c>
      <c r="M175" t="s">
        <v>44</v>
      </c>
      <c r="N175" t="s">
        <v>44</v>
      </c>
      <c r="P175" t="s">
        <v>44</v>
      </c>
      <c r="Q175" t="s">
        <v>44</v>
      </c>
      <c r="R175" s="6" t="s">
        <v>44</v>
      </c>
      <c r="T175" s="16" t="s">
        <v>44</v>
      </c>
      <c r="U175" t="s">
        <v>44</v>
      </c>
      <c r="V175" t="s">
        <v>44</v>
      </c>
      <c r="W175" s="16" t="s">
        <v>1133</v>
      </c>
      <c r="Y175" s="21">
        <v>43670</v>
      </c>
      <c r="Z175" s="22">
        <v>0.60947916666666668</v>
      </c>
      <c r="AA175" t="s">
        <v>44</v>
      </c>
      <c r="AB175" t="s">
        <v>44</v>
      </c>
      <c r="AC175" t="s">
        <v>66</v>
      </c>
      <c r="AD175" t="s">
        <v>1081</v>
      </c>
      <c r="AE175" t="s">
        <v>44</v>
      </c>
      <c r="AF175" t="s">
        <v>44</v>
      </c>
      <c r="AG175" t="s">
        <v>44</v>
      </c>
      <c r="AH175" s="21">
        <v>43670</v>
      </c>
      <c r="AK175" t="s">
        <v>263</v>
      </c>
    </row>
    <row r="176" spans="1:38" x14ac:dyDescent="0.3">
      <c r="A176" t="s">
        <v>1134</v>
      </c>
      <c r="B176" t="s">
        <v>45</v>
      </c>
      <c r="C176" t="s">
        <v>43</v>
      </c>
      <c r="D176" t="s">
        <v>1135</v>
      </c>
      <c r="E176" t="s">
        <v>44</v>
      </c>
      <c r="F176" t="s">
        <v>44</v>
      </c>
      <c r="G176" t="s">
        <v>44</v>
      </c>
      <c r="H176" s="1" t="s">
        <v>44</v>
      </c>
      <c r="I176" t="s">
        <v>44</v>
      </c>
      <c r="J176" s="11" t="s">
        <v>82</v>
      </c>
      <c r="K176" t="s">
        <v>44</v>
      </c>
      <c r="L176" t="s">
        <v>44</v>
      </c>
      <c r="M176" t="s">
        <v>44</v>
      </c>
      <c r="N176" t="s">
        <v>44</v>
      </c>
      <c r="P176" t="s">
        <v>1136</v>
      </c>
      <c r="Q176" t="s">
        <v>44</v>
      </c>
      <c r="R176" s="6" t="s">
        <v>44</v>
      </c>
      <c r="T176" s="16" t="s">
        <v>44</v>
      </c>
      <c r="U176" t="s">
        <v>44</v>
      </c>
      <c r="V176" t="s">
        <v>44</v>
      </c>
      <c r="W176" s="16" t="s">
        <v>965</v>
      </c>
      <c r="Y176" s="21">
        <v>43670</v>
      </c>
      <c r="Z176" s="22">
        <v>0.61040509259259257</v>
      </c>
      <c r="AA176" t="s">
        <v>44</v>
      </c>
      <c r="AB176" t="s">
        <v>44</v>
      </c>
      <c r="AC176" t="s">
        <v>66</v>
      </c>
      <c r="AD176" t="s">
        <v>1081</v>
      </c>
      <c r="AE176" t="s">
        <v>44</v>
      </c>
      <c r="AF176" t="s">
        <v>44</v>
      </c>
      <c r="AG176" t="s">
        <v>44</v>
      </c>
      <c r="AH176" s="21">
        <v>43671</v>
      </c>
      <c r="AK176" t="s">
        <v>248</v>
      </c>
    </row>
    <row r="177" spans="1:38" x14ac:dyDescent="0.3">
      <c r="A177" s="20" t="s">
        <v>1218</v>
      </c>
      <c r="B177" t="s">
        <v>161</v>
      </c>
      <c r="C177" t="s">
        <v>43</v>
      </c>
      <c r="D177" s="26" t="s">
        <v>1137</v>
      </c>
      <c r="E177" t="s">
        <v>1147</v>
      </c>
      <c r="F177" s="26" t="s">
        <v>125</v>
      </c>
      <c r="G177" t="s">
        <v>82</v>
      </c>
      <c r="H177" s="1" t="s">
        <v>44</v>
      </c>
      <c r="I177" t="s">
        <v>44</v>
      </c>
      <c r="J177" s="11" t="s">
        <v>82</v>
      </c>
      <c r="L177" t="s">
        <v>44</v>
      </c>
      <c r="M177" t="s">
        <v>44</v>
      </c>
      <c r="O177" t="s">
        <v>44</v>
      </c>
      <c r="P177" t="s">
        <v>1138</v>
      </c>
      <c r="Q177" t="s">
        <v>44</v>
      </c>
      <c r="R177" s="6" t="s">
        <v>44</v>
      </c>
      <c r="S177" t="s">
        <v>44</v>
      </c>
      <c r="T177" s="25" t="s">
        <v>44</v>
      </c>
      <c r="U177" t="s">
        <v>44</v>
      </c>
      <c r="V177" t="s">
        <v>44</v>
      </c>
      <c r="W177" s="16" t="s">
        <v>1148</v>
      </c>
      <c r="Y177" s="21">
        <v>43670</v>
      </c>
      <c r="Z177" s="22"/>
      <c r="AA177" s="21"/>
      <c r="AB177" t="s">
        <v>44</v>
      </c>
      <c r="AC177" s="22" t="s">
        <v>66</v>
      </c>
      <c r="AD177" s="21">
        <v>43670</v>
      </c>
      <c r="AE177" s="21" t="s">
        <v>44</v>
      </c>
      <c r="AF177" t="s">
        <v>44</v>
      </c>
      <c r="AG177" t="s">
        <v>44</v>
      </c>
      <c r="AH177" s="21">
        <v>43670</v>
      </c>
      <c r="AK177" s="21" t="s">
        <v>263</v>
      </c>
      <c r="AL177" t="s">
        <v>1149</v>
      </c>
    </row>
    <row r="178" spans="1:38" x14ac:dyDescent="0.3">
      <c r="A178" t="s">
        <v>1139</v>
      </c>
      <c r="B178" t="s">
        <v>45</v>
      </c>
      <c r="C178" t="s">
        <v>43</v>
      </c>
      <c r="D178" t="s">
        <v>1140</v>
      </c>
      <c r="E178" t="s">
        <v>306</v>
      </c>
      <c r="F178" t="s">
        <v>44</v>
      </c>
      <c r="G178" t="s">
        <v>44</v>
      </c>
      <c r="H178" s="1" t="s">
        <v>44</v>
      </c>
      <c r="I178" t="s">
        <v>44</v>
      </c>
      <c r="J178" s="11" t="s">
        <v>82</v>
      </c>
      <c r="K178" t="s">
        <v>44</v>
      </c>
      <c r="L178" t="s">
        <v>44</v>
      </c>
      <c r="M178" t="s">
        <v>44</v>
      </c>
      <c r="N178" t="s">
        <v>44</v>
      </c>
      <c r="P178" t="s">
        <v>1141</v>
      </c>
      <c r="Q178" t="s">
        <v>44</v>
      </c>
      <c r="R178" s="6" t="s">
        <v>44</v>
      </c>
      <c r="T178" s="16" t="s">
        <v>44</v>
      </c>
      <c r="U178" t="s">
        <v>44</v>
      </c>
      <c r="V178" t="s">
        <v>44</v>
      </c>
      <c r="W178" s="16" t="s">
        <v>1142</v>
      </c>
      <c r="Y178" s="21">
        <v>43670</v>
      </c>
      <c r="Z178" s="22">
        <v>0.65339120370370374</v>
      </c>
      <c r="AA178" t="s">
        <v>44</v>
      </c>
      <c r="AB178" t="s">
        <v>44</v>
      </c>
      <c r="AC178" t="s">
        <v>66</v>
      </c>
      <c r="AD178" t="s">
        <v>1081</v>
      </c>
      <c r="AE178" t="s">
        <v>44</v>
      </c>
      <c r="AF178" t="s">
        <v>44</v>
      </c>
      <c r="AG178" t="s">
        <v>44</v>
      </c>
      <c r="AH178" s="21">
        <v>43671</v>
      </c>
      <c r="AK178" t="s">
        <v>263</v>
      </c>
    </row>
    <row r="179" spans="1:38" x14ac:dyDescent="0.3">
      <c r="A179" t="s">
        <v>1143</v>
      </c>
      <c r="B179" t="s">
        <v>45</v>
      </c>
      <c r="C179" t="s">
        <v>43</v>
      </c>
      <c r="D179" t="s">
        <v>1144</v>
      </c>
      <c r="E179" t="s">
        <v>955</v>
      </c>
      <c r="F179" t="s">
        <v>199</v>
      </c>
      <c r="G179" t="s">
        <v>44</v>
      </c>
      <c r="H179" s="1" t="s">
        <v>44</v>
      </c>
      <c r="I179" t="s">
        <v>44</v>
      </c>
      <c r="J179" s="11" t="s">
        <v>82</v>
      </c>
      <c r="K179" t="s">
        <v>44</v>
      </c>
      <c r="L179" t="s">
        <v>44</v>
      </c>
      <c r="M179" t="s">
        <v>44</v>
      </c>
      <c r="N179" t="s">
        <v>44</v>
      </c>
      <c r="P179" t="s">
        <v>1145</v>
      </c>
      <c r="Q179" t="s">
        <v>44</v>
      </c>
      <c r="R179" s="6" t="s">
        <v>44</v>
      </c>
      <c r="T179" s="16" t="s">
        <v>44</v>
      </c>
      <c r="U179" t="s">
        <v>44</v>
      </c>
      <c r="V179" t="s">
        <v>44</v>
      </c>
      <c r="W179" s="16" t="s">
        <v>1146</v>
      </c>
      <c r="Y179" s="21">
        <v>43670</v>
      </c>
      <c r="Z179" s="22">
        <v>0.66248842592592594</v>
      </c>
      <c r="AA179" t="s">
        <v>44</v>
      </c>
      <c r="AB179" t="s">
        <v>44</v>
      </c>
      <c r="AC179" t="s">
        <v>66</v>
      </c>
      <c r="AD179" t="s">
        <v>1081</v>
      </c>
      <c r="AE179" t="s">
        <v>44</v>
      </c>
      <c r="AF179" t="s">
        <v>44</v>
      </c>
      <c r="AG179" t="s">
        <v>44</v>
      </c>
      <c r="AH179" s="21">
        <v>43670</v>
      </c>
      <c r="AK179" t="s">
        <v>263</v>
      </c>
    </row>
    <row r="180" spans="1:38" x14ac:dyDescent="0.3">
      <c r="A180" t="s">
        <v>1150</v>
      </c>
      <c r="B180" t="s">
        <v>45</v>
      </c>
      <c r="C180" t="s">
        <v>43</v>
      </c>
      <c r="D180" t="s">
        <v>1151</v>
      </c>
      <c r="E180" t="s">
        <v>747</v>
      </c>
      <c r="F180" t="s">
        <v>44</v>
      </c>
      <c r="G180" t="s">
        <v>44</v>
      </c>
      <c r="H180" s="1" t="s">
        <v>44</v>
      </c>
      <c r="I180" t="s">
        <v>44</v>
      </c>
      <c r="J180" s="11" t="s">
        <v>82</v>
      </c>
      <c r="K180" t="s">
        <v>44</v>
      </c>
      <c r="L180" t="s">
        <v>44</v>
      </c>
      <c r="M180" t="s">
        <v>44</v>
      </c>
      <c r="N180" t="s">
        <v>44</v>
      </c>
      <c r="P180" t="s">
        <v>1152</v>
      </c>
      <c r="Q180" t="s">
        <v>44</v>
      </c>
      <c r="R180" s="6" t="s">
        <v>44</v>
      </c>
      <c r="T180" s="16" t="s">
        <v>44</v>
      </c>
      <c r="U180" t="s">
        <v>44</v>
      </c>
      <c r="V180" t="s">
        <v>44</v>
      </c>
      <c r="W180" s="16" t="s">
        <v>1153</v>
      </c>
      <c r="Y180" s="21">
        <v>43670</v>
      </c>
      <c r="Z180" s="22">
        <v>0.6737847222222223</v>
      </c>
      <c r="AA180" t="s">
        <v>44</v>
      </c>
      <c r="AB180" t="s">
        <v>44</v>
      </c>
      <c r="AC180" t="s">
        <v>66</v>
      </c>
      <c r="AD180" t="s">
        <v>1081</v>
      </c>
      <c r="AE180" t="s">
        <v>44</v>
      </c>
      <c r="AF180" t="s">
        <v>44</v>
      </c>
      <c r="AG180" t="s">
        <v>44</v>
      </c>
      <c r="AH180" s="21">
        <v>43670</v>
      </c>
      <c r="AK180" t="s">
        <v>248</v>
      </c>
    </row>
    <row r="181" spans="1:38" x14ac:dyDescent="0.3">
      <c r="A181" t="s">
        <v>1154</v>
      </c>
      <c r="B181" t="s">
        <v>161</v>
      </c>
      <c r="C181" t="s">
        <v>43</v>
      </c>
      <c r="D181" t="s">
        <v>1155</v>
      </c>
      <c r="E181" t="s">
        <v>140</v>
      </c>
      <c r="F181" t="s">
        <v>125</v>
      </c>
      <c r="G181" t="s">
        <v>1156</v>
      </c>
      <c r="H181" s="1" t="s">
        <v>44</v>
      </c>
      <c r="I181" t="s">
        <v>44</v>
      </c>
      <c r="J181" s="11" t="s">
        <v>82</v>
      </c>
      <c r="K181" t="s">
        <v>44</v>
      </c>
      <c r="L181" t="s">
        <v>44</v>
      </c>
      <c r="M181" t="s">
        <v>44</v>
      </c>
      <c r="N181" t="s">
        <v>44</v>
      </c>
      <c r="P181" t="s">
        <v>1157</v>
      </c>
      <c r="Q181" t="s">
        <v>44</v>
      </c>
      <c r="R181" s="6" t="s">
        <v>1158</v>
      </c>
      <c r="T181" s="16" t="s">
        <v>44</v>
      </c>
      <c r="U181" t="s">
        <v>44</v>
      </c>
      <c r="V181" t="s">
        <v>44</v>
      </c>
      <c r="W181" s="16" t="s">
        <v>1159</v>
      </c>
      <c r="Y181" s="21">
        <v>43670</v>
      </c>
      <c r="Z181" s="22">
        <v>0.70185185185185184</v>
      </c>
      <c r="AA181" t="s">
        <v>6</v>
      </c>
      <c r="AB181" t="s">
        <v>44</v>
      </c>
      <c r="AC181" t="s">
        <v>66</v>
      </c>
      <c r="AD181" t="s">
        <v>1081</v>
      </c>
      <c r="AE181" t="s">
        <v>44</v>
      </c>
      <c r="AF181" t="s">
        <v>44</v>
      </c>
      <c r="AG181" t="s">
        <v>44</v>
      </c>
      <c r="AH181" s="21">
        <v>43670</v>
      </c>
      <c r="AK181" t="s">
        <v>263</v>
      </c>
    </row>
    <row r="182" spans="1:38" x14ac:dyDescent="0.3">
      <c r="A182" t="s">
        <v>1160</v>
      </c>
      <c r="B182" t="s">
        <v>45</v>
      </c>
      <c r="C182" t="s">
        <v>43</v>
      </c>
      <c r="D182" t="s">
        <v>1161</v>
      </c>
      <c r="E182" t="s">
        <v>44</v>
      </c>
      <c r="F182" t="s">
        <v>44</v>
      </c>
      <c r="G182" t="s">
        <v>44</v>
      </c>
      <c r="H182" s="1" t="s">
        <v>44</v>
      </c>
      <c r="I182" t="s">
        <v>44</v>
      </c>
      <c r="J182" s="11" t="s">
        <v>82</v>
      </c>
      <c r="K182" t="s">
        <v>44</v>
      </c>
      <c r="L182" t="s">
        <v>44</v>
      </c>
      <c r="M182" t="s">
        <v>44</v>
      </c>
      <c r="N182" t="s">
        <v>44</v>
      </c>
      <c r="P182" t="s">
        <v>1162</v>
      </c>
      <c r="Q182" t="s">
        <v>44</v>
      </c>
      <c r="R182" s="6" t="s">
        <v>44</v>
      </c>
      <c r="T182" s="16" t="s">
        <v>44</v>
      </c>
      <c r="U182" t="s">
        <v>44</v>
      </c>
      <c r="V182" t="s">
        <v>44</v>
      </c>
      <c r="W182" s="16" t="s">
        <v>965</v>
      </c>
      <c r="Y182" s="21">
        <v>43670</v>
      </c>
      <c r="Z182" s="22">
        <v>0.70526620370370363</v>
      </c>
      <c r="AA182" t="s">
        <v>44</v>
      </c>
      <c r="AB182" t="s">
        <v>44</v>
      </c>
      <c r="AC182" t="s">
        <v>66</v>
      </c>
      <c r="AD182" t="s">
        <v>1081</v>
      </c>
      <c r="AE182" t="s">
        <v>44</v>
      </c>
      <c r="AF182" t="s">
        <v>44</v>
      </c>
      <c r="AG182" t="s">
        <v>44</v>
      </c>
      <c r="AH182" s="21">
        <v>43685</v>
      </c>
      <c r="AK182" t="s">
        <v>248</v>
      </c>
    </row>
    <row r="183" spans="1:38" x14ac:dyDescent="0.3">
      <c r="A183" t="s">
        <v>1163</v>
      </c>
      <c r="B183" t="s">
        <v>45</v>
      </c>
      <c r="C183" t="s">
        <v>43</v>
      </c>
      <c r="D183" t="s">
        <v>1164</v>
      </c>
      <c r="E183" t="s">
        <v>69</v>
      </c>
      <c r="G183" t="s">
        <v>44</v>
      </c>
      <c r="H183" s="1" t="s">
        <v>44</v>
      </c>
      <c r="I183" t="s">
        <v>44</v>
      </c>
      <c r="J183" s="11" t="s">
        <v>82</v>
      </c>
      <c r="L183" t="s">
        <v>44</v>
      </c>
      <c r="M183" t="s">
        <v>44</v>
      </c>
      <c r="P183" t="s">
        <v>1165</v>
      </c>
      <c r="Q183" t="s">
        <v>44</v>
      </c>
      <c r="R183" s="6" t="s">
        <v>1166</v>
      </c>
      <c r="T183" s="16" t="s">
        <v>44</v>
      </c>
      <c r="U183" t="s">
        <v>44</v>
      </c>
      <c r="V183" t="s">
        <v>44</v>
      </c>
      <c r="W183" s="16" t="s">
        <v>1167</v>
      </c>
      <c r="Y183" s="21">
        <v>43670</v>
      </c>
      <c r="Z183" s="22">
        <v>0.70824074074074073</v>
      </c>
      <c r="AB183" t="s">
        <v>44</v>
      </c>
      <c r="AC183" t="s">
        <v>66</v>
      </c>
      <c r="AD183" s="21">
        <v>43670</v>
      </c>
      <c r="AE183" t="s">
        <v>44</v>
      </c>
      <c r="AF183" t="s">
        <v>44</v>
      </c>
      <c r="AG183" t="s">
        <v>44</v>
      </c>
      <c r="AH183" s="21">
        <v>43672</v>
      </c>
      <c r="AK183" t="s">
        <v>248</v>
      </c>
      <c r="AL183" t="s">
        <v>1168</v>
      </c>
    </row>
    <row r="184" spans="1:38" x14ac:dyDescent="0.3">
      <c r="A184" t="s">
        <v>1169</v>
      </c>
      <c r="B184" t="s">
        <v>45</v>
      </c>
      <c r="C184" t="s">
        <v>43</v>
      </c>
      <c r="D184" t="s">
        <v>1170</v>
      </c>
      <c r="E184" t="s">
        <v>44</v>
      </c>
      <c r="F184" t="s">
        <v>44</v>
      </c>
      <c r="G184" t="s">
        <v>44</v>
      </c>
      <c r="H184" s="1" t="s">
        <v>44</v>
      </c>
      <c r="I184" t="s">
        <v>44</v>
      </c>
      <c r="J184" s="11" t="s">
        <v>82</v>
      </c>
      <c r="K184" t="s">
        <v>44</v>
      </c>
      <c r="L184" t="s">
        <v>44</v>
      </c>
      <c r="M184" t="s">
        <v>44</v>
      </c>
      <c r="N184" t="s">
        <v>44</v>
      </c>
      <c r="P184" t="s">
        <v>1171</v>
      </c>
      <c r="Q184" t="s">
        <v>44</v>
      </c>
      <c r="R184" s="6" t="s">
        <v>44</v>
      </c>
      <c r="T184" s="16" t="s">
        <v>44</v>
      </c>
      <c r="U184" t="s">
        <v>44</v>
      </c>
      <c r="V184" t="s">
        <v>44</v>
      </c>
      <c r="W184" s="16" t="s">
        <v>1172</v>
      </c>
      <c r="Y184" s="21">
        <v>43670</v>
      </c>
      <c r="Z184" s="22">
        <v>0.7133449074074073</v>
      </c>
      <c r="AA184" t="s">
        <v>44</v>
      </c>
      <c r="AB184" t="s">
        <v>44</v>
      </c>
      <c r="AC184" t="s">
        <v>66</v>
      </c>
      <c r="AD184" t="s">
        <v>1081</v>
      </c>
      <c r="AE184" t="s">
        <v>44</v>
      </c>
      <c r="AF184" t="s">
        <v>44</v>
      </c>
      <c r="AG184" t="s">
        <v>44</v>
      </c>
      <c r="AH184" s="21">
        <v>43671</v>
      </c>
      <c r="AK184" t="s">
        <v>248</v>
      </c>
    </row>
    <row r="185" spans="1:38" x14ac:dyDescent="0.3">
      <c r="A185" s="20" t="s">
        <v>1219</v>
      </c>
      <c r="B185" t="s">
        <v>161</v>
      </c>
      <c r="C185" t="s">
        <v>43</v>
      </c>
      <c r="D185" t="s">
        <v>1173</v>
      </c>
      <c r="E185" t="s">
        <v>140</v>
      </c>
      <c r="F185" t="s">
        <v>44</v>
      </c>
      <c r="G185" t="s">
        <v>44</v>
      </c>
      <c r="H185" s="1" t="s">
        <v>44</v>
      </c>
      <c r="I185" t="s">
        <v>44</v>
      </c>
      <c r="J185" s="11" t="s">
        <v>82</v>
      </c>
      <c r="K185" t="s">
        <v>44</v>
      </c>
      <c r="L185" t="s">
        <v>44</v>
      </c>
      <c r="M185" t="s">
        <v>44</v>
      </c>
      <c r="N185" t="s">
        <v>44</v>
      </c>
      <c r="P185" t="s">
        <v>1174</v>
      </c>
      <c r="Q185" t="s">
        <v>44</v>
      </c>
      <c r="R185" s="6" t="s">
        <v>1175</v>
      </c>
      <c r="T185" s="16" t="s">
        <v>44</v>
      </c>
      <c r="U185" t="s">
        <v>44</v>
      </c>
      <c r="V185" t="s">
        <v>44</v>
      </c>
      <c r="W185" s="16" t="s">
        <v>1176</v>
      </c>
      <c r="Y185" s="21">
        <v>43670</v>
      </c>
      <c r="Z185" s="22">
        <v>0.71837962962962953</v>
      </c>
      <c r="AA185" t="s">
        <v>44</v>
      </c>
      <c r="AB185" t="s">
        <v>44</v>
      </c>
      <c r="AC185" t="s">
        <v>66</v>
      </c>
      <c r="AD185" t="s">
        <v>1081</v>
      </c>
      <c r="AE185" t="s">
        <v>44</v>
      </c>
      <c r="AF185" t="s">
        <v>44</v>
      </c>
      <c r="AG185" t="s">
        <v>44</v>
      </c>
      <c r="AH185" s="21">
        <v>43670</v>
      </c>
      <c r="AK185" t="s">
        <v>263</v>
      </c>
    </row>
    <row r="186" spans="1:38" x14ac:dyDescent="0.3">
      <c r="A186" t="s">
        <v>1177</v>
      </c>
      <c r="B186" t="s">
        <v>45</v>
      </c>
      <c r="C186" t="s">
        <v>43</v>
      </c>
      <c r="D186" t="s">
        <v>1178</v>
      </c>
      <c r="E186" t="s">
        <v>1179</v>
      </c>
      <c r="F186" t="s">
        <v>51</v>
      </c>
      <c r="G186" t="s">
        <v>44</v>
      </c>
      <c r="H186" s="1" t="s">
        <v>44</v>
      </c>
      <c r="I186" t="s">
        <v>44</v>
      </c>
      <c r="J186" s="11" t="s">
        <v>82</v>
      </c>
      <c r="K186" t="s">
        <v>44</v>
      </c>
      <c r="L186" t="s">
        <v>44</v>
      </c>
      <c r="M186" t="s">
        <v>44</v>
      </c>
      <c r="N186" t="s">
        <v>44</v>
      </c>
      <c r="P186" t="s">
        <v>44</v>
      </c>
      <c r="Q186" t="s">
        <v>44</v>
      </c>
      <c r="R186" s="6" t="s">
        <v>44</v>
      </c>
      <c r="T186" s="16" t="s">
        <v>44</v>
      </c>
      <c r="U186" t="s">
        <v>44</v>
      </c>
      <c r="V186" t="s">
        <v>44</v>
      </c>
      <c r="W186" s="16" t="s">
        <v>1180</v>
      </c>
      <c r="Y186" s="21">
        <v>43670</v>
      </c>
      <c r="Z186" s="22">
        <v>0.73980324074074078</v>
      </c>
      <c r="AA186" t="s">
        <v>44</v>
      </c>
      <c r="AB186" t="s">
        <v>44</v>
      </c>
      <c r="AC186" t="s">
        <v>66</v>
      </c>
      <c r="AD186" t="s">
        <v>1081</v>
      </c>
      <c r="AE186" t="s">
        <v>44</v>
      </c>
      <c r="AF186" t="s">
        <v>44</v>
      </c>
      <c r="AG186" t="s">
        <v>44</v>
      </c>
      <c r="AH186" s="21">
        <v>43670</v>
      </c>
      <c r="AK186" t="s">
        <v>248</v>
      </c>
    </row>
    <row r="187" spans="1:38" x14ac:dyDescent="0.3">
      <c r="A187" t="s">
        <v>1181</v>
      </c>
      <c r="B187" t="s">
        <v>45</v>
      </c>
      <c r="C187" t="s">
        <v>43</v>
      </c>
      <c r="D187" t="s">
        <v>1182</v>
      </c>
      <c r="E187" t="s">
        <v>1183</v>
      </c>
      <c r="F187" t="s">
        <v>199</v>
      </c>
      <c r="G187" t="s">
        <v>44</v>
      </c>
      <c r="H187" s="1" t="s">
        <v>44</v>
      </c>
      <c r="I187" t="s">
        <v>44</v>
      </c>
      <c r="J187" s="11" t="s">
        <v>82</v>
      </c>
      <c r="K187" t="s">
        <v>44</v>
      </c>
      <c r="L187" t="s">
        <v>44</v>
      </c>
      <c r="M187" t="s">
        <v>44</v>
      </c>
      <c r="N187" t="s">
        <v>44</v>
      </c>
      <c r="P187" t="s">
        <v>1184</v>
      </c>
      <c r="Q187" t="s">
        <v>44</v>
      </c>
      <c r="R187" s="6" t="s">
        <v>44</v>
      </c>
      <c r="T187" s="16" t="s">
        <v>44</v>
      </c>
      <c r="U187" t="s">
        <v>44</v>
      </c>
      <c r="V187" t="s">
        <v>44</v>
      </c>
      <c r="W187" s="16" t="s">
        <v>1185</v>
      </c>
      <c r="Y187" s="21">
        <v>43671</v>
      </c>
      <c r="Z187" s="22">
        <v>0.44081018518518517</v>
      </c>
      <c r="AA187" t="s">
        <v>44</v>
      </c>
      <c r="AB187" t="s">
        <v>44</v>
      </c>
      <c r="AC187" t="s">
        <v>66</v>
      </c>
      <c r="AD187" t="s">
        <v>1186</v>
      </c>
      <c r="AE187" t="s">
        <v>44</v>
      </c>
      <c r="AF187" t="s">
        <v>44</v>
      </c>
      <c r="AG187" t="s">
        <v>44</v>
      </c>
      <c r="AH187" s="21">
        <v>43671</v>
      </c>
      <c r="AK187" t="s">
        <v>263</v>
      </c>
    </row>
    <row r="188" spans="1:38" x14ac:dyDescent="0.3">
      <c r="A188" t="s">
        <v>1187</v>
      </c>
      <c r="B188" t="s">
        <v>161</v>
      </c>
      <c r="C188" t="s">
        <v>43</v>
      </c>
      <c r="D188" t="s">
        <v>1188</v>
      </c>
      <c r="E188" t="s">
        <v>1189</v>
      </c>
      <c r="F188" t="s">
        <v>199</v>
      </c>
      <c r="G188" t="s">
        <v>44</v>
      </c>
      <c r="H188" s="1" t="s">
        <v>44</v>
      </c>
      <c r="I188" t="s">
        <v>44</v>
      </c>
      <c r="J188" s="11" t="s">
        <v>82</v>
      </c>
      <c r="K188" t="s">
        <v>44</v>
      </c>
      <c r="L188" t="s">
        <v>44</v>
      </c>
      <c r="M188" t="s">
        <v>44</v>
      </c>
      <c r="N188" t="s">
        <v>44</v>
      </c>
      <c r="P188" t="s">
        <v>1190</v>
      </c>
      <c r="Q188" t="s">
        <v>44</v>
      </c>
      <c r="R188" s="6" t="s">
        <v>1191</v>
      </c>
      <c r="T188" s="16" t="s">
        <v>44</v>
      </c>
      <c r="U188" t="s">
        <v>44</v>
      </c>
      <c r="V188" t="s">
        <v>44</v>
      </c>
      <c r="W188" s="16" t="s">
        <v>1192</v>
      </c>
      <c r="Y188" s="21">
        <v>43671</v>
      </c>
      <c r="Z188" s="22">
        <v>0.44552083333333337</v>
      </c>
      <c r="AA188" t="s">
        <v>44</v>
      </c>
      <c r="AB188" t="s">
        <v>44</v>
      </c>
      <c r="AC188" t="s">
        <v>66</v>
      </c>
      <c r="AD188" t="s">
        <v>1186</v>
      </c>
      <c r="AE188" t="s">
        <v>44</v>
      </c>
      <c r="AF188" t="s">
        <v>44</v>
      </c>
      <c r="AG188" t="s">
        <v>44</v>
      </c>
      <c r="AH188" s="21">
        <v>43671</v>
      </c>
      <c r="AK188" t="s">
        <v>263</v>
      </c>
    </row>
    <row r="189" spans="1:38" x14ac:dyDescent="0.3">
      <c r="A189" t="s">
        <v>1193</v>
      </c>
      <c r="B189" t="s">
        <v>161</v>
      </c>
      <c r="C189" t="s">
        <v>43</v>
      </c>
      <c r="D189" t="s">
        <v>1194</v>
      </c>
      <c r="E189" t="s">
        <v>1195</v>
      </c>
      <c r="F189" t="s">
        <v>913</v>
      </c>
      <c r="G189" t="s">
        <v>44</v>
      </c>
      <c r="H189" s="1" t="s">
        <v>44</v>
      </c>
      <c r="I189" t="s">
        <v>44</v>
      </c>
      <c r="J189" s="11" t="s">
        <v>82</v>
      </c>
      <c r="K189" t="s">
        <v>44</v>
      </c>
      <c r="L189" t="s">
        <v>44</v>
      </c>
      <c r="M189" t="s">
        <v>44</v>
      </c>
      <c r="N189" t="s">
        <v>44</v>
      </c>
      <c r="P189" t="s">
        <v>1196</v>
      </c>
      <c r="Q189" t="s">
        <v>44</v>
      </c>
      <c r="R189" s="6" t="s">
        <v>44</v>
      </c>
      <c r="T189" s="16" t="s">
        <v>44</v>
      </c>
      <c r="U189" t="s">
        <v>44</v>
      </c>
      <c r="V189" t="s">
        <v>44</v>
      </c>
      <c r="W189" s="16" t="s">
        <v>1197</v>
      </c>
      <c r="Y189" s="21">
        <v>43671</v>
      </c>
      <c r="Z189" s="22">
        <v>0.47003472222222226</v>
      </c>
      <c r="AA189" t="s">
        <v>44</v>
      </c>
      <c r="AB189" t="s">
        <v>44</v>
      </c>
      <c r="AC189" t="s">
        <v>66</v>
      </c>
      <c r="AD189" t="s">
        <v>1186</v>
      </c>
      <c r="AE189" t="s">
        <v>44</v>
      </c>
      <c r="AF189" t="s">
        <v>44</v>
      </c>
      <c r="AG189" t="s">
        <v>44</v>
      </c>
      <c r="AH189" s="21">
        <v>43671</v>
      </c>
      <c r="AK189" t="s">
        <v>263</v>
      </c>
    </row>
    <row r="190" spans="1:38" x14ac:dyDescent="0.3">
      <c r="A190" t="s">
        <v>1198</v>
      </c>
      <c r="B190" t="s">
        <v>42</v>
      </c>
      <c r="C190" t="s">
        <v>43</v>
      </c>
      <c r="D190" t="s">
        <v>1199</v>
      </c>
      <c r="E190" t="s">
        <v>148</v>
      </c>
      <c r="F190" t="s">
        <v>44</v>
      </c>
      <c r="G190" t="s">
        <v>44</v>
      </c>
      <c r="H190" s="1" t="s">
        <v>44</v>
      </c>
      <c r="I190" t="s">
        <v>44</v>
      </c>
      <c r="J190" s="11" t="s">
        <v>82</v>
      </c>
      <c r="K190" t="s">
        <v>44</v>
      </c>
      <c r="L190" t="s">
        <v>44</v>
      </c>
      <c r="M190" t="s">
        <v>44</v>
      </c>
      <c r="N190" t="s">
        <v>44</v>
      </c>
      <c r="P190" t="s">
        <v>1200</v>
      </c>
      <c r="Q190" t="s">
        <v>44</v>
      </c>
      <c r="R190" s="6" t="s">
        <v>44</v>
      </c>
      <c r="T190" s="16" t="s">
        <v>44</v>
      </c>
      <c r="U190" t="s">
        <v>44</v>
      </c>
      <c r="V190" t="s">
        <v>44</v>
      </c>
      <c r="W190" s="16" t="s">
        <v>1201</v>
      </c>
      <c r="Y190" s="21">
        <v>43671</v>
      </c>
      <c r="Z190" s="22">
        <v>0.49092592592592593</v>
      </c>
      <c r="AA190" t="s">
        <v>44</v>
      </c>
      <c r="AB190" t="s">
        <v>44</v>
      </c>
      <c r="AC190" t="s">
        <v>66</v>
      </c>
      <c r="AD190" t="s">
        <v>1186</v>
      </c>
      <c r="AE190" t="s">
        <v>44</v>
      </c>
      <c r="AF190" t="s">
        <v>44</v>
      </c>
      <c r="AG190" t="s">
        <v>44</v>
      </c>
      <c r="AH190" s="21">
        <v>43671</v>
      </c>
      <c r="AK190" t="s">
        <v>248</v>
      </c>
    </row>
    <row r="191" spans="1:38" x14ac:dyDescent="0.3">
      <c r="A191" t="s">
        <v>1202</v>
      </c>
      <c r="B191" t="s">
        <v>161</v>
      </c>
      <c r="C191" t="s">
        <v>43</v>
      </c>
      <c r="D191" t="s">
        <v>1203</v>
      </c>
      <c r="E191" t="s">
        <v>440</v>
      </c>
      <c r="F191" t="s">
        <v>199</v>
      </c>
      <c r="G191" t="s">
        <v>44</v>
      </c>
      <c r="H191" s="1" t="s">
        <v>44</v>
      </c>
      <c r="I191" t="s">
        <v>44</v>
      </c>
      <c r="J191" s="11" t="s">
        <v>82</v>
      </c>
      <c r="K191" t="s">
        <v>44</v>
      </c>
      <c r="L191" t="s">
        <v>44</v>
      </c>
      <c r="M191" t="s">
        <v>44</v>
      </c>
      <c r="N191" t="s">
        <v>44</v>
      </c>
      <c r="P191" t="s">
        <v>1204</v>
      </c>
      <c r="Q191" t="s">
        <v>44</v>
      </c>
      <c r="R191" s="6" t="s">
        <v>44</v>
      </c>
      <c r="T191" s="16" t="s">
        <v>44</v>
      </c>
      <c r="U191" t="s">
        <v>44</v>
      </c>
      <c r="V191" t="s">
        <v>44</v>
      </c>
      <c r="W191" s="16" t="s">
        <v>1205</v>
      </c>
      <c r="Y191" s="21">
        <v>43671</v>
      </c>
      <c r="Z191" s="22">
        <v>0.59496527777777775</v>
      </c>
      <c r="AA191" t="s">
        <v>44</v>
      </c>
      <c r="AB191" t="s">
        <v>44</v>
      </c>
      <c r="AC191" t="s">
        <v>66</v>
      </c>
      <c r="AD191" t="s">
        <v>1186</v>
      </c>
      <c r="AE191" t="s">
        <v>44</v>
      </c>
      <c r="AF191" t="s">
        <v>44</v>
      </c>
      <c r="AG191" t="s">
        <v>44</v>
      </c>
      <c r="AH191" s="21">
        <v>43671</v>
      </c>
      <c r="AK191" t="s">
        <v>263</v>
      </c>
    </row>
    <row r="192" spans="1:38" x14ac:dyDescent="0.3">
      <c r="A192" t="s">
        <v>1206</v>
      </c>
      <c r="B192" t="s">
        <v>45</v>
      </c>
      <c r="C192" t="s">
        <v>43</v>
      </c>
      <c r="D192" t="s">
        <v>1207</v>
      </c>
      <c r="E192" t="s">
        <v>1208</v>
      </c>
      <c r="F192" t="s">
        <v>199</v>
      </c>
      <c r="G192" t="s">
        <v>44</v>
      </c>
      <c r="H192" s="1" t="s">
        <v>44</v>
      </c>
      <c r="I192" t="s">
        <v>44</v>
      </c>
      <c r="J192" s="11" t="s">
        <v>82</v>
      </c>
      <c r="K192" t="s">
        <v>44</v>
      </c>
      <c r="L192" t="s">
        <v>44</v>
      </c>
      <c r="M192" t="s">
        <v>44</v>
      </c>
      <c r="N192" t="s">
        <v>44</v>
      </c>
      <c r="P192" t="s">
        <v>1209</v>
      </c>
      <c r="Q192" t="s">
        <v>44</v>
      </c>
      <c r="R192" s="6" t="s">
        <v>44</v>
      </c>
      <c r="T192" s="16" t="s">
        <v>44</v>
      </c>
      <c r="U192" t="s">
        <v>44</v>
      </c>
      <c r="V192" t="s">
        <v>44</v>
      </c>
      <c r="W192" s="16" t="s">
        <v>1210</v>
      </c>
      <c r="Y192" s="21">
        <v>43671</v>
      </c>
      <c r="Z192" s="22">
        <v>0.59674768518518517</v>
      </c>
      <c r="AA192" t="s">
        <v>44</v>
      </c>
      <c r="AB192" t="s">
        <v>44</v>
      </c>
      <c r="AC192" t="s">
        <v>66</v>
      </c>
      <c r="AD192" t="s">
        <v>1186</v>
      </c>
      <c r="AE192" t="s">
        <v>44</v>
      </c>
      <c r="AF192" t="s">
        <v>44</v>
      </c>
      <c r="AG192" t="s">
        <v>44</v>
      </c>
      <c r="AH192" s="21">
        <v>43671</v>
      </c>
      <c r="AK192" t="s">
        <v>263</v>
      </c>
    </row>
    <row r="193" spans="1:38" x14ac:dyDescent="0.3">
      <c r="A193" t="s">
        <v>1213</v>
      </c>
      <c r="B193" t="s">
        <v>42</v>
      </c>
      <c r="C193" t="s">
        <v>43</v>
      </c>
      <c r="D193" t="s">
        <v>1214</v>
      </c>
      <c r="E193" t="s">
        <v>1234</v>
      </c>
      <c r="G193" t="s">
        <v>44</v>
      </c>
      <c r="H193" s="1" t="s">
        <v>44</v>
      </c>
      <c r="I193" t="s">
        <v>44</v>
      </c>
      <c r="J193" s="11" t="s">
        <v>82</v>
      </c>
      <c r="L193" t="s">
        <v>44</v>
      </c>
      <c r="M193" t="s">
        <v>44</v>
      </c>
      <c r="P193" t="s">
        <v>1215</v>
      </c>
      <c r="Q193" t="s">
        <v>44</v>
      </c>
      <c r="R193" s="6" t="s">
        <v>44</v>
      </c>
      <c r="T193" s="16" t="s">
        <v>44</v>
      </c>
      <c r="U193" t="s">
        <v>44</v>
      </c>
      <c r="V193" t="s">
        <v>44</v>
      </c>
      <c r="W193" s="16" t="s">
        <v>1216</v>
      </c>
      <c r="Y193" s="21">
        <v>43671</v>
      </c>
      <c r="Z193" s="22">
        <v>0.74092592592592599</v>
      </c>
      <c r="AB193" t="s">
        <v>44</v>
      </c>
      <c r="AC193" t="s">
        <v>66</v>
      </c>
      <c r="AD193" s="21">
        <v>43676</v>
      </c>
      <c r="AE193" t="s">
        <v>44</v>
      </c>
      <c r="AF193" t="s">
        <v>44</v>
      </c>
      <c r="AG193" t="s">
        <v>44</v>
      </c>
      <c r="AH193" s="21">
        <v>43672</v>
      </c>
      <c r="AK193" t="s">
        <v>248</v>
      </c>
      <c r="AL193" t="s">
        <v>1235</v>
      </c>
    </row>
    <row r="194" spans="1:38" x14ac:dyDescent="0.3">
      <c r="A194" t="s">
        <v>1222</v>
      </c>
      <c r="B194" t="s">
        <v>42</v>
      </c>
      <c r="C194" t="s">
        <v>43</v>
      </c>
      <c r="D194" t="s">
        <v>1223</v>
      </c>
      <c r="E194" t="s">
        <v>546</v>
      </c>
      <c r="F194" t="s">
        <v>46</v>
      </c>
      <c r="G194" t="s">
        <v>44</v>
      </c>
      <c r="H194" s="1" t="s">
        <v>44</v>
      </c>
      <c r="I194" t="s">
        <v>44</v>
      </c>
      <c r="J194" s="11" t="s">
        <v>82</v>
      </c>
      <c r="K194" t="s">
        <v>44</v>
      </c>
      <c r="L194" t="s">
        <v>44</v>
      </c>
      <c r="M194" t="s">
        <v>44</v>
      </c>
      <c r="N194" t="s">
        <v>44</v>
      </c>
      <c r="P194" t="s">
        <v>1224</v>
      </c>
      <c r="Q194" t="s">
        <v>44</v>
      </c>
      <c r="R194" s="6" t="s">
        <v>44</v>
      </c>
      <c r="T194" s="16" t="s">
        <v>44</v>
      </c>
      <c r="U194" t="s">
        <v>44</v>
      </c>
      <c r="V194" t="s">
        <v>44</v>
      </c>
      <c r="W194" s="16" t="s">
        <v>1225</v>
      </c>
      <c r="Y194" s="21">
        <v>43675</v>
      </c>
      <c r="Z194" s="22">
        <v>0.61510416666666667</v>
      </c>
      <c r="AA194" t="s">
        <v>44</v>
      </c>
      <c r="AB194" t="s">
        <v>44</v>
      </c>
      <c r="AC194" t="s">
        <v>66</v>
      </c>
      <c r="AD194" t="s">
        <v>1226</v>
      </c>
      <c r="AE194" t="s">
        <v>44</v>
      </c>
      <c r="AF194" t="s">
        <v>44</v>
      </c>
      <c r="AG194" t="s">
        <v>44</v>
      </c>
      <c r="AH194" s="21">
        <v>43675</v>
      </c>
      <c r="AK194" t="s">
        <v>263</v>
      </c>
    </row>
    <row r="195" spans="1:38" x14ac:dyDescent="0.3">
      <c r="A195" t="s">
        <v>1227</v>
      </c>
      <c r="B195" t="s">
        <v>45</v>
      </c>
      <c r="C195" t="s">
        <v>43</v>
      </c>
      <c r="D195" t="s">
        <v>1228</v>
      </c>
      <c r="E195" t="s">
        <v>44</v>
      </c>
      <c r="F195" t="s">
        <v>44</v>
      </c>
      <c r="G195" t="s">
        <v>44</v>
      </c>
      <c r="H195" s="1" t="s">
        <v>44</v>
      </c>
      <c r="I195" t="s">
        <v>44</v>
      </c>
      <c r="J195" s="11" t="s">
        <v>82</v>
      </c>
      <c r="K195" t="s">
        <v>44</v>
      </c>
      <c r="L195" t="s">
        <v>44</v>
      </c>
      <c r="M195" t="s">
        <v>44</v>
      </c>
      <c r="N195" t="s">
        <v>44</v>
      </c>
      <c r="P195" t="s">
        <v>1229</v>
      </c>
      <c r="Q195" t="s">
        <v>44</v>
      </c>
      <c r="R195" s="6" t="s">
        <v>44</v>
      </c>
      <c r="T195" s="16" t="s">
        <v>44</v>
      </c>
      <c r="U195" t="s">
        <v>44</v>
      </c>
      <c r="V195" t="s">
        <v>44</v>
      </c>
      <c r="W195" s="16" t="s">
        <v>1230</v>
      </c>
      <c r="Y195" s="21">
        <v>43675</v>
      </c>
      <c r="Z195" s="22">
        <v>0.62023148148148144</v>
      </c>
      <c r="AA195" t="s">
        <v>44</v>
      </c>
      <c r="AB195" t="s">
        <v>44</v>
      </c>
      <c r="AC195" t="s">
        <v>66</v>
      </c>
      <c r="AD195" t="s">
        <v>1226</v>
      </c>
      <c r="AE195" t="s">
        <v>44</v>
      </c>
      <c r="AF195" t="s">
        <v>44</v>
      </c>
      <c r="AG195" t="s">
        <v>44</v>
      </c>
      <c r="AH195" s="21">
        <v>43677</v>
      </c>
      <c r="AK195" t="s">
        <v>248</v>
      </c>
    </row>
    <row r="196" spans="1:38" x14ac:dyDescent="0.3">
      <c r="A196" t="s">
        <v>1244</v>
      </c>
      <c r="B196" t="s">
        <v>42</v>
      </c>
      <c r="C196" t="s">
        <v>43</v>
      </c>
      <c r="D196" t="s">
        <v>1245</v>
      </c>
      <c r="E196" t="s">
        <v>1246</v>
      </c>
      <c r="F196" t="s">
        <v>44</v>
      </c>
      <c r="G196" t="s">
        <v>44</v>
      </c>
      <c r="H196" s="1" t="s">
        <v>44</v>
      </c>
      <c r="I196" t="s">
        <v>44</v>
      </c>
      <c r="J196" s="11" t="s">
        <v>82</v>
      </c>
      <c r="K196" t="s">
        <v>44</v>
      </c>
      <c r="L196" t="s">
        <v>44</v>
      </c>
      <c r="M196" t="s">
        <v>44</v>
      </c>
      <c r="N196" t="s">
        <v>44</v>
      </c>
      <c r="P196" t="s">
        <v>1247</v>
      </c>
      <c r="Q196" t="s">
        <v>44</v>
      </c>
      <c r="R196" s="6" t="s">
        <v>1248</v>
      </c>
      <c r="T196" s="16" t="s">
        <v>1249</v>
      </c>
      <c r="U196" t="s">
        <v>44</v>
      </c>
      <c r="V196" t="s">
        <v>44</v>
      </c>
      <c r="W196" s="16" t="s">
        <v>1250</v>
      </c>
      <c r="Y196" s="21">
        <v>43676</v>
      </c>
      <c r="Z196" s="22">
        <v>0.5977083333333334</v>
      </c>
      <c r="AA196" t="s">
        <v>44</v>
      </c>
      <c r="AB196" t="s">
        <v>44</v>
      </c>
      <c r="AC196" t="s">
        <v>66</v>
      </c>
      <c r="AD196" t="s">
        <v>1251</v>
      </c>
      <c r="AE196" t="s">
        <v>44</v>
      </c>
      <c r="AF196" t="s">
        <v>44</v>
      </c>
      <c r="AG196" t="s">
        <v>44</v>
      </c>
      <c r="AH196" s="21">
        <v>43675</v>
      </c>
      <c r="AK196" t="s">
        <v>248</v>
      </c>
    </row>
    <row r="197" spans="1:38" x14ac:dyDescent="0.3">
      <c r="A197" t="s">
        <v>1252</v>
      </c>
      <c r="B197" t="s">
        <v>45</v>
      </c>
      <c r="C197" t="s">
        <v>43</v>
      </c>
      <c r="D197" t="s">
        <v>1253</v>
      </c>
      <c r="E197" t="s">
        <v>44</v>
      </c>
      <c r="F197" t="s">
        <v>44</v>
      </c>
      <c r="G197" t="s">
        <v>44</v>
      </c>
      <c r="H197" s="1" t="s">
        <v>44</v>
      </c>
      <c r="I197" t="s">
        <v>44</v>
      </c>
      <c r="J197" s="11" t="s">
        <v>82</v>
      </c>
      <c r="K197" t="s">
        <v>44</v>
      </c>
      <c r="L197" t="s">
        <v>44</v>
      </c>
      <c r="M197" t="s">
        <v>44</v>
      </c>
      <c r="N197" t="s">
        <v>44</v>
      </c>
      <c r="P197" t="s">
        <v>1254</v>
      </c>
      <c r="Q197" t="s">
        <v>44</v>
      </c>
      <c r="R197" s="6" t="s">
        <v>44</v>
      </c>
      <c r="T197" s="16" t="s">
        <v>44</v>
      </c>
      <c r="U197" t="s">
        <v>44</v>
      </c>
      <c r="V197" t="s">
        <v>44</v>
      </c>
      <c r="W197" s="16" t="s">
        <v>1255</v>
      </c>
      <c r="Y197" s="21">
        <v>43677</v>
      </c>
      <c r="Z197" s="22">
        <v>0.41019675925925925</v>
      </c>
      <c r="AA197" t="s">
        <v>44</v>
      </c>
      <c r="AB197" t="s">
        <v>44</v>
      </c>
      <c r="AC197" t="s">
        <v>66</v>
      </c>
      <c r="AD197" t="s">
        <v>1256</v>
      </c>
      <c r="AE197" t="s">
        <v>44</v>
      </c>
      <c r="AF197" t="s">
        <v>44</v>
      </c>
      <c r="AG197" t="s">
        <v>44</v>
      </c>
      <c r="AH197" s="21">
        <v>43677</v>
      </c>
      <c r="AK197" t="s">
        <v>248</v>
      </c>
    </row>
    <row r="198" spans="1:38" x14ac:dyDescent="0.3">
      <c r="A198" t="s">
        <v>1257</v>
      </c>
      <c r="B198" t="s">
        <v>45</v>
      </c>
      <c r="C198" t="s">
        <v>43</v>
      </c>
      <c r="D198" t="s">
        <v>1258</v>
      </c>
      <c r="E198" t="s">
        <v>1195</v>
      </c>
      <c r="F198" t="s">
        <v>208</v>
      </c>
      <c r="G198" t="s">
        <v>44</v>
      </c>
      <c r="H198" s="1" t="s">
        <v>44</v>
      </c>
      <c r="I198" t="s">
        <v>44</v>
      </c>
      <c r="J198" s="11" t="s">
        <v>82</v>
      </c>
      <c r="K198" t="s">
        <v>44</v>
      </c>
      <c r="L198" t="s">
        <v>44</v>
      </c>
      <c r="M198" t="s">
        <v>44</v>
      </c>
      <c r="N198" t="s">
        <v>44</v>
      </c>
      <c r="P198" t="s">
        <v>1259</v>
      </c>
      <c r="Q198" t="s">
        <v>44</v>
      </c>
      <c r="R198" s="6" t="s">
        <v>1260</v>
      </c>
      <c r="T198" s="16" t="s">
        <v>44</v>
      </c>
      <c r="U198" t="s">
        <v>44</v>
      </c>
      <c r="V198" t="s">
        <v>44</v>
      </c>
      <c r="W198" s="16" t="s">
        <v>1261</v>
      </c>
      <c r="Y198" s="21">
        <v>43677</v>
      </c>
      <c r="Z198" s="22">
        <v>0.41530092592592593</v>
      </c>
      <c r="AA198" t="s">
        <v>44</v>
      </c>
      <c r="AB198" t="s">
        <v>44</v>
      </c>
      <c r="AC198" t="s">
        <v>66</v>
      </c>
      <c r="AD198" t="s">
        <v>1256</v>
      </c>
      <c r="AE198" t="s">
        <v>44</v>
      </c>
      <c r="AF198" t="s">
        <v>44</v>
      </c>
      <c r="AG198" t="s">
        <v>44</v>
      </c>
      <c r="AH198" s="21">
        <v>43682</v>
      </c>
      <c r="AK198" t="s">
        <v>248</v>
      </c>
    </row>
    <row r="199" spans="1:38" x14ac:dyDescent="0.3">
      <c r="A199" t="s">
        <v>1262</v>
      </c>
      <c r="B199" t="s">
        <v>42</v>
      </c>
      <c r="C199" t="s">
        <v>43</v>
      </c>
      <c r="D199" t="s">
        <v>1263</v>
      </c>
      <c r="E199" t="s">
        <v>44</v>
      </c>
      <c r="F199" t="s">
        <v>44</v>
      </c>
      <c r="G199" t="s">
        <v>44</v>
      </c>
      <c r="H199" s="1" t="s">
        <v>44</v>
      </c>
      <c r="I199" t="s">
        <v>44</v>
      </c>
      <c r="J199" s="11" t="s">
        <v>82</v>
      </c>
      <c r="K199" t="s">
        <v>44</v>
      </c>
      <c r="L199" t="s">
        <v>44</v>
      </c>
      <c r="M199" t="s">
        <v>44</v>
      </c>
      <c r="N199" t="s">
        <v>44</v>
      </c>
      <c r="P199" t="s">
        <v>1264</v>
      </c>
      <c r="Q199" t="s">
        <v>44</v>
      </c>
      <c r="R199" s="6" t="s">
        <v>1265</v>
      </c>
      <c r="T199" s="16" t="s">
        <v>44</v>
      </c>
      <c r="U199" t="s">
        <v>44</v>
      </c>
      <c r="V199" t="s">
        <v>44</v>
      </c>
      <c r="W199" s="16" t="s">
        <v>1266</v>
      </c>
      <c r="Y199" s="21">
        <v>43677</v>
      </c>
      <c r="Z199" s="22">
        <v>0.47122685185185187</v>
      </c>
      <c r="AA199" t="s">
        <v>44</v>
      </c>
      <c r="AB199" t="s">
        <v>44</v>
      </c>
      <c r="AC199" t="s">
        <v>66</v>
      </c>
      <c r="AD199" t="s">
        <v>1256</v>
      </c>
      <c r="AE199" t="s">
        <v>44</v>
      </c>
      <c r="AF199" t="s">
        <v>44</v>
      </c>
      <c r="AG199" t="s">
        <v>44</v>
      </c>
      <c r="AH199" s="21">
        <v>43682</v>
      </c>
      <c r="AK199" t="s">
        <v>248</v>
      </c>
    </row>
    <row r="200" spans="1:38" x14ac:dyDescent="0.3">
      <c r="A200" t="s">
        <v>1267</v>
      </c>
      <c r="B200" t="s">
        <v>42</v>
      </c>
      <c r="C200" t="s">
        <v>43</v>
      </c>
      <c r="D200" t="s">
        <v>1268</v>
      </c>
      <c r="E200" t="s">
        <v>1269</v>
      </c>
      <c r="F200" t="s">
        <v>46</v>
      </c>
      <c r="G200" t="s">
        <v>118</v>
      </c>
      <c r="H200" s="1" t="s">
        <v>44</v>
      </c>
      <c r="I200" t="s">
        <v>44</v>
      </c>
      <c r="J200" s="11" t="s">
        <v>82</v>
      </c>
      <c r="L200" t="s">
        <v>44</v>
      </c>
      <c r="M200" t="s">
        <v>44</v>
      </c>
      <c r="P200" t="s">
        <v>1270</v>
      </c>
      <c r="Q200" t="s">
        <v>44</v>
      </c>
      <c r="R200" s="6" t="s">
        <v>1271</v>
      </c>
      <c r="T200" s="16" t="s">
        <v>44</v>
      </c>
      <c r="U200" t="s">
        <v>44</v>
      </c>
      <c r="V200" t="s">
        <v>44</v>
      </c>
      <c r="W200" s="16" t="s">
        <v>1272</v>
      </c>
      <c r="Y200" s="21">
        <v>43677</v>
      </c>
      <c r="Z200" s="22">
        <v>0.47615740740740736</v>
      </c>
      <c r="AB200" t="s">
        <v>44</v>
      </c>
      <c r="AC200" t="s">
        <v>66</v>
      </c>
      <c r="AD200" s="21">
        <v>43678</v>
      </c>
      <c r="AE200" t="s">
        <v>44</v>
      </c>
      <c r="AF200" t="s">
        <v>44</v>
      </c>
      <c r="AG200" t="s">
        <v>44</v>
      </c>
      <c r="AH200" s="21">
        <v>43677</v>
      </c>
      <c r="AK200" t="s">
        <v>248</v>
      </c>
      <c r="AL200" t="s">
        <v>1273</v>
      </c>
    </row>
    <row r="201" spans="1:38" x14ac:dyDescent="0.3">
      <c r="A201" t="s">
        <v>1278</v>
      </c>
      <c r="B201" t="s">
        <v>161</v>
      </c>
      <c r="C201" t="s">
        <v>43</v>
      </c>
      <c r="D201" t="s">
        <v>1279</v>
      </c>
      <c r="E201" t="s">
        <v>340</v>
      </c>
      <c r="F201" t="s">
        <v>199</v>
      </c>
      <c r="G201" t="s">
        <v>44</v>
      </c>
      <c r="H201" s="1" t="s">
        <v>44</v>
      </c>
      <c r="I201" t="s">
        <v>44</v>
      </c>
      <c r="J201" s="11" t="s">
        <v>82</v>
      </c>
      <c r="K201" t="s">
        <v>44</v>
      </c>
      <c r="L201" t="s">
        <v>44</v>
      </c>
      <c r="M201" t="s">
        <v>44</v>
      </c>
      <c r="N201" t="s">
        <v>44</v>
      </c>
      <c r="P201" t="s">
        <v>1280</v>
      </c>
      <c r="Q201" t="s">
        <v>44</v>
      </c>
      <c r="R201" s="6" t="s">
        <v>44</v>
      </c>
      <c r="T201" s="16" t="s">
        <v>44</v>
      </c>
      <c r="U201" t="s">
        <v>44</v>
      </c>
      <c r="V201" t="s">
        <v>44</v>
      </c>
      <c r="W201" s="16" t="s">
        <v>1281</v>
      </c>
      <c r="Y201" s="21">
        <v>43678</v>
      </c>
      <c r="Z201" s="22">
        <v>0.6932060185185186</v>
      </c>
      <c r="AA201" t="s">
        <v>44</v>
      </c>
      <c r="AB201" t="s">
        <v>44</v>
      </c>
      <c r="AC201" t="s">
        <v>66</v>
      </c>
      <c r="AD201" t="s">
        <v>1282</v>
      </c>
      <c r="AE201" t="s">
        <v>44</v>
      </c>
      <c r="AF201" t="s">
        <v>44</v>
      </c>
      <c r="AG201" t="s">
        <v>44</v>
      </c>
      <c r="AH201" s="21">
        <v>43679</v>
      </c>
      <c r="AK201" t="s">
        <v>248</v>
      </c>
    </row>
    <row r="202" spans="1:38" ht="129.6" x14ac:dyDescent="0.3">
      <c r="A202" t="s">
        <v>1288</v>
      </c>
      <c r="B202" t="s">
        <v>45</v>
      </c>
      <c r="C202" t="s">
        <v>43</v>
      </c>
      <c r="D202" t="s">
        <v>1289</v>
      </c>
      <c r="E202" t="s">
        <v>1405</v>
      </c>
      <c r="G202" t="s">
        <v>44</v>
      </c>
      <c r="H202" s="1" t="s">
        <v>44</v>
      </c>
      <c r="I202" t="s">
        <v>44</v>
      </c>
      <c r="J202" s="11" t="s">
        <v>82</v>
      </c>
      <c r="L202" t="s">
        <v>44</v>
      </c>
      <c r="M202" t="s">
        <v>44</v>
      </c>
      <c r="P202" t="s">
        <v>1290</v>
      </c>
      <c r="Q202" t="s">
        <v>44</v>
      </c>
      <c r="R202" s="6" t="s">
        <v>1406</v>
      </c>
      <c r="T202" s="16" t="s">
        <v>44</v>
      </c>
      <c r="U202" t="s">
        <v>44</v>
      </c>
      <c r="V202" t="s">
        <v>44</v>
      </c>
      <c r="W202" s="25" t="s">
        <v>1407</v>
      </c>
      <c r="Y202" s="21">
        <v>43684</v>
      </c>
      <c r="Z202" s="22">
        <v>0.68350694444444438</v>
      </c>
      <c r="AB202" t="s">
        <v>44</v>
      </c>
      <c r="AC202" t="s">
        <v>66</v>
      </c>
      <c r="AD202" s="21">
        <v>43733</v>
      </c>
      <c r="AE202" t="s">
        <v>44</v>
      </c>
      <c r="AF202" t="s">
        <v>44</v>
      </c>
      <c r="AG202" t="s">
        <v>44</v>
      </c>
      <c r="AH202" s="21">
        <v>43738</v>
      </c>
      <c r="AK202" t="s">
        <v>248</v>
      </c>
      <c r="AL202" t="s">
        <v>1408</v>
      </c>
    </row>
    <row r="203" spans="1:38" x14ac:dyDescent="0.3">
      <c r="A203" t="s">
        <v>1291</v>
      </c>
      <c r="B203" t="s">
        <v>45</v>
      </c>
      <c r="C203" t="s">
        <v>43</v>
      </c>
      <c r="D203" t="s">
        <v>1292</v>
      </c>
      <c r="E203" t="s">
        <v>1293</v>
      </c>
      <c r="F203" t="s">
        <v>44</v>
      </c>
      <c r="G203" t="s">
        <v>44</v>
      </c>
      <c r="H203" s="1" t="s">
        <v>44</v>
      </c>
      <c r="I203" t="s">
        <v>44</v>
      </c>
      <c r="J203" s="11" t="s">
        <v>82</v>
      </c>
      <c r="K203" t="s">
        <v>44</v>
      </c>
      <c r="L203" t="s">
        <v>44</v>
      </c>
      <c r="M203" t="s">
        <v>44</v>
      </c>
      <c r="N203" t="s">
        <v>44</v>
      </c>
      <c r="P203" t="s">
        <v>1294</v>
      </c>
      <c r="Q203" t="s">
        <v>44</v>
      </c>
      <c r="R203" s="6" t="s">
        <v>1295</v>
      </c>
      <c r="T203" s="16" t="s">
        <v>44</v>
      </c>
      <c r="U203" t="s">
        <v>44</v>
      </c>
      <c r="V203" t="s">
        <v>44</v>
      </c>
      <c r="W203" s="16" t="s">
        <v>1296</v>
      </c>
      <c r="Y203" s="21">
        <v>43691</v>
      </c>
      <c r="Z203" s="22">
        <v>0.47006944444444443</v>
      </c>
      <c r="AA203" t="s">
        <v>44</v>
      </c>
      <c r="AB203" t="s">
        <v>44</v>
      </c>
      <c r="AC203" t="s">
        <v>66</v>
      </c>
      <c r="AD203" t="s">
        <v>1297</v>
      </c>
      <c r="AE203" t="s">
        <v>44</v>
      </c>
      <c r="AF203" t="s">
        <v>44</v>
      </c>
      <c r="AG203" t="s">
        <v>44</v>
      </c>
      <c r="AH203" s="21">
        <v>43696</v>
      </c>
      <c r="AK203" t="s">
        <v>248</v>
      </c>
    </row>
    <row r="204" spans="1:38" x14ac:dyDescent="0.3">
      <c r="A204" t="s">
        <v>1298</v>
      </c>
      <c r="B204" t="s">
        <v>45</v>
      </c>
      <c r="C204" t="s">
        <v>43</v>
      </c>
      <c r="D204" t="s">
        <v>1299</v>
      </c>
      <c r="E204" t="s">
        <v>1065</v>
      </c>
      <c r="G204" t="s">
        <v>44</v>
      </c>
      <c r="H204" s="1" t="s">
        <v>44</v>
      </c>
      <c r="I204" t="s">
        <v>44</v>
      </c>
      <c r="J204" s="11" t="s">
        <v>82</v>
      </c>
      <c r="L204" t="s">
        <v>44</v>
      </c>
      <c r="M204" t="s">
        <v>44</v>
      </c>
      <c r="P204" t="s">
        <v>1300</v>
      </c>
      <c r="Q204" t="s">
        <v>44</v>
      </c>
      <c r="R204" s="6" t="s">
        <v>1301</v>
      </c>
      <c r="T204" s="16" t="s">
        <v>44</v>
      </c>
      <c r="U204" t="s">
        <v>44</v>
      </c>
      <c r="V204" t="s">
        <v>44</v>
      </c>
      <c r="W204" s="16" t="s">
        <v>1302</v>
      </c>
      <c r="Y204" s="21">
        <v>43691</v>
      </c>
      <c r="Z204" s="22">
        <v>0.48451388888888891</v>
      </c>
      <c r="AB204" t="s">
        <v>44</v>
      </c>
      <c r="AC204" t="s">
        <v>66</v>
      </c>
      <c r="AD204" s="21">
        <v>43691</v>
      </c>
      <c r="AE204" t="s">
        <v>44</v>
      </c>
      <c r="AF204" t="s">
        <v>44</v>
      </c>
      <c r="AG204" t="s">
        <v>44</v>
      </c>
      <c r="AH204" s="21">
        <v>43697</v>
      </c>
      <c r="AK204" t="s">
        <v>248</v>
      </c>
      <c r="AL204" t="s">
        <v>1303</v>
      </c>
    </row>
    <row r="205" spans="1:38" x14ac:dyDescent="0.3">
      <c r="A205" t="s">
        <v>1306</v>
      </c>
      <c r="B205" t="s">
        <v>45</v>
      </c>
      <c r="C205" t="s">
        <v>43</v>
      </c>
      <c r="D205" t="s">
        <v>1307</v>
      </c>
      <c r="E205" t="s">
        <v>1308</v>
      </c>
      <c r="G205" t="s">
        <v>44</v>
      </c>
      <c r="H205" s="1" t="s">
        <v>44</v>
      </c>
      <c r="I205" t="s">
        <v>44</v>
      </c>
      <c r="J205" s="11" t="s">
        <v>82</v>
      </c>
      <c r="L205" t="s">
        <v>44</v>
      </c>
      <c r="M205" t="s">
        <v>44</v>
      </c>
      <c r="P205" t="s">
        <v>1309</v>
      </c>
      <c r="Q205" t="s">
        <v>44</v>
      </c>
      <c r="R205" s="6" t="s">
        <v>44</v>
      </c>
      <c r="T205" s="16" t="s">
        <v>44</v>
      </c>
      <c r="U205" t="s">
        <v>44</v>
      </c>
      <c r="V205" t="s">
        <v>44</v>
      </c>
      <c r="W205" s="16" t="s">
        <v>1311</v>
      </c>
      <c r="Y205" s="21">
        <v>43692</v>
      </c>
      <c r="Z205" s="22">
        <v>0.48464120370370373</v>
      </c>
      <c r="AB205" t="s">
        <v>44</v>
      </c>
      <c r="AC205" t="s">
        <v>66</v>
      </c>
      <c r="AD205" s="21">
        <v>43692</v>
      </c>
      <c r="AE205" t="s">
        <v>44</v>
      </c>
      <c r="AF205" t="s">
        <v>44</v>
      </c>
      <c r="AG205" t="s">
        <v>44</v>
      </c>
      <c r="AH205" s="21">
        <v>43692</v>
      </c>
      <c r="AK205" t="s">
        <v>248</v>
      </c>
      <c r="AL205" t="s">
        <v>1312</v>
      </c>
    </row>
    <row r="206" spans="1:38" x14ac:dyDescent="0.3">
      <c r="A206" t="s">
        <v>1313</v>
      </c>
      <c r="B206" t="s">
        <v>45</v>
      </c>
      <c r="C206" t="s">
        <v>43</v>
      </c>
      <c r="D206" t="s">
        <v>1314</v>
      </c>
      <c r="E206" t="s">
        <v>251</v>
      </c>
      <c r="F206" t="s">
        <v>44</v>
      </c>
      <c r="G206" t="s">
        <v>44</v>
      </c>
      <c r="H206" s="1" t="s">
        <v>44</v>
      </c>
      <c r="I206" t="s">
        <v>44</v>
      </c>
      <c r="J206" s="11" t="s">
        <v>82</v>
      </c>
      <c r="K206" t="s">
        <v>44</v>
      </c>
      <c r="L206" t="s">
        <v>44</v>
      </c>
      <c r="M206" t="s">
        <v>44</v>
      </c>
      <c r="N206" t="s">
        <v>44</v>
      </c>
      <c r="P206" t="s">
        <v>1315</v>
      </c>
      <c r="Q206" t="s">
        <v>44</v>
      </c>
      <c r="R206" s="6" t="s">
        <v>1316</v>
      </c>
      <c r="T206" s="16" t="s">
        <v>44</v>
      </c>
      <c r="U206" t="s">
        <v>44</v>
      </c>
      <c r="V206" t="s">
        <v>44</v>
      </c>
      <c r="W206" s="16" t="s">
        <v>1317</v>
      </c>
      <c r="Y206" s="21">
        <v>43692</v>
      </c>
      <c r="Z206" s="22">
        <v>0.60282407407407412</v>
      </c>
      <c r="AA206" t="s">
        <v>44</v>
      </c>
      <c r="AB206" t="s">
        <v>44</v>
      </c>
      <c r="AC206" t="s">
        <v>54</v>
      </c>
      <c r="AD206" t="s">
        <v>1310</v>
      </c>
      <c r="AE206" t="s">
        <v>44</v>
      </c>
      <c r="AF206" t="s">
        <v>44</v>
      </c>
      <c r="AG206" t="s">
        <v>44</v>
      </c>
      <c r="AH206" s="21">
        <v>43696</v>
      </c>
      <c r="AK206" t="s">
        <v>248</v>
      </c>
    </row>
    <row r="207" spans="1:38" x14ac:dyDescent="0.3">
      <c r="A207" t="s">
        <v>1318</v>
      </c>
      <c r="B207" t="s">
        <v>45</v>
      </c>
      <c r="C207" t="s">
        <v>43</v>
      </c>
      <c r="D207" t="s">
        <v>1319</v>
      </c>
      <c r="E207" t="s">
        <v>1320</v>
      </c>
      <c r="G207" t="s">
        <v>44</v>
      </c>
      <c r="H207" s="1" t="s">
        <v>44</v>
      </c>
      <c r="I207" t="s">
        <v>44</v>
      </c>
      <c r="J207" s="11" t="s">
        <v>82</v>
      </c>
      <c r="L207" t="s">
        <v>44</v>
      </c>
      <c r="M207" t="s">
        <v>44</v>
      </c>
      <c r="P207" t="s">
        <v>1321</v>
      </c>
      <c r="Q207" t="s">
        <v>44</v>
      </c>
      <c r="R207" s="6" t="s">
        <v>44</v>
      </c>
      <c r="T207" s="16" t="s">
        <v>44</v>
      </c>
      <c r="U207" t="s">
        <v>44</v>
      </c>
      <c r="V207" t="s">
        <v>44</v>
      </c>
      <c r="W207" s="16" t="s">
        <v>1322</v>
      </c>
      <c r="Y207" s="21">
        <v>43692</v>
      </c>
      <c r="Z207" s="22">
        <v>0.71753472222222225</v>
      </c>
      <c r="AB207" t="s">
        <v>44</v>
      </c>
      <c r="AC207" t="s">
        <v>54</v>
      </c>
      <c r="AD207" s="21">
        <v>43707</v>
      </c>
      <c r="AE207" t="s">
        <v>44</v>
      </c>
      <c r="AF207" t="s">
        <v>44</v>
      </c>
      <c r="AG207" t="s">
        <v>44</v>
      </c>
      <c r="AH207" s="21">
        <v>43692</v>
      </c>
      <c r="AK207" t="s">
        <v>248</v>
      </c>
      <c r="AL207" t="s">
        <v>1333</v>
      </c>
    </row>
    <row r="208" spans="1:38" x14ac:dyDescent="0.3">
      <c r="A208">
        <v>26498844000289</v>
      </c>
      <c r="B208" t="s">
        <v>45</v>
      </c>
      <c r="C208" t="s">
        <v>43</v>
      </c>
      <c r="D208" t="s">
        <v>1323</v>
      </c>
      <c r="E208" t="s">
        <v>266</v>
      </c>
      <c r="G208" t="s">
        <v>44</v>
      </c>
      <c r="H208" s="1" t="s">
        <v>44</v>
      </c>
      <c r="I208" t="s">
        <v>44</v>
      </c>
      <c r="J208" s="11" t="s">
        <v>82</v>
      </c>
      <c r="L208" t="s">
        <v>44</v>
      </c>
      <c r="M208" t="s">
        <v>44</v>
      </c>
      <c r="P208" t="s">
        <v>1324</v>
      </c>
      <c r="Q208" t="s">
        <v>44</v>
      </c>
      <c r="R208" s="6" t="s">
        <v>1325</v>
      </c>
      <c r="T208" s="16" t="s">
        <v>44</v>
      </c>
      <c r="U208" t="s">
        <v>44</v>
      </c>
      <c r="V208" t="s">
        <v>44</v>
      </c>
      <c r="W208" s="16" t="s">
        <v>1331</v>
      </c>
      <c r="Y208" s="21">
        <v>43704</v>
      </c>
      <c r="Z208" s="22">
        <v>0.68403935185185183</v>
      </c>
      <c r="AB208" t="s">
        <v>44</v>
      </c>
      <c r="AC208" t="s">
        <v>54</v>
      </c>
      <c r="AD208" s="21">
        <v>43707</v>
      </c>
      <c r="AE208" t="s">
        <v>44</v>
      </c>
      <c r="AF208" t="s">
        <v>44</v>
      </c>
      <c r="AG208" t="s">
        <v>44</v>
      </c>
      <c r="AH208" s="21">
        <v>43710</v>
      </c>
      <c r="AK208" t="s">
        <v>248</v>
      </c>
      <c r="AL208" t="s">
        <v>1332</v>
      </c>
    </row>
    <row r="209" spans="1:38" x14ac:dyDescent="0.3">
      <c r="A209" t="s">
        <v>1326</v>
      </c>
      <c r="B209" t="s">
        <v>44</v>
      </c>
      <c r="C209" t="s">
        <v>44</v>
      </c>
      <c r="D209" t="s">
        <v>1327</v>
      </c>
      <c r="E209" t="s">
        <v>285</v>
      </c>
      <c r="F209" t="s">
        <v>44</v>
      </c>
      <c r="G209" t="s">
        <v>44</v>
      </c>
      <c r="H209" s="1" t="s">
        <v>44</v>
      </c>
      <c r="I209" t="s">
        <v>44</v>
      </c>
      <c r="J209" s="11" t="s">
        <v>82</v>
      </c>
      <c r="K209" t="s">
        <v>44</v>
      </c>
      <c r="L209" t="s">
        <v>44</v>
      </c>
      <c r="M209" t="s">
        <v>44</v>
      </c>
      <c r="N209" t="s">
        <v>44</v>
      </c>
      <c r="P209" t="s">
        <v>1328</v>
      </c>
      <c r="Q209" t="s">
        <v>44</v>
      </c>
      <c r="R209" s="6" t="s">
        <v>44</v>
      </c>
      <c r="T209" s="16" t="s">
        <v>44</v>
      </c>
      <c r="U209" t="s">
        <v>44</v>
      </c>
      <c r="V209" t="s">
        <v>44</v>
      </c>
      <c r="W209" s="16" t="s">
        <v>1329</v>
      </c>
      <c r="Y209" s="21">
        <v>43706</v>
      </c>
      <c r="Z209" s="22">
        <v>0.65409722222222222</v>
      </c>
      <c r="AA209" t="s">
        <v>44</v>
      </c>
      <c r="AB209" t="s">
        <v>44</v>
      </c>
      <c r="AC209" t="s">
        <v>66</v>
      </c>
      <c r="AD209" t="s">
        <v>1330</v>
      </c>
      <c r="AE209" t="s">
        <v>44</v>
      </c>
      <c r="AF209" t="s">
        <v>44</v>
      </c>
      <c r="AG209" t="s">
        <v>44</v>
      </c>
      <c r="AH209" s="21">
        <v>43707</v>
      </c>
      <c r="AK209" t="s">
        <v>248</v>
      </c>
    </row>
    <row r="210" spans="1:38" x14ac:dyDescent="0.3">
      <c r="A210" t="s">
        <v>1334</v>
      </c>
      <c r="B210" t="s">
        <v>45</v>
      </c>
      <c r="C210" t="s">
        <v>43</v>
      </c>
      <c r="D210" t="s">
        <v>1335</v>
      </c>
      <c r="E210" t="s">
        <v>1336</v>
      </c>
      <c r="G210" t="s">
        <v>44</v>
      </c>
      <c r="H210" s="1" t="s">
        <v>44</v>
      </c>
      <c r="I210" t="s">
        <v>44</v>
      </c>
      <c r="J210" s="11" t="s">
        <v>82</v>
      </c>
      <c r="L210" t="s">
        <v>44</v>
      </c>
      <c r="M210" t="s">
        <v>44</v>
      </c>
      <c r="P210" t="s">
        <v>1337</v>
      </c>
      <c r="Q210" t="s">
        <v>44</v>
      </c>
      <c r="R210" s="6" t="s">
        <v>1338</v>
      </c>
      <c r="T210" s="16" t="s">
        <v>44</v>
      </c>
      <c r="U210" t="s">
        <v>44</v>
      </c>
      <c r="V210" t="s">
        <v>44</v>
      </c>
      <c r="W210" s="16" t="s">
        <v>1339</v>
      </c>
      <c r="Y210" s="21">
        <v>43707</v>
      </c>
      <c r="Z210" s="22">
        <v>0.67951388888888886</v>
      </c>
      <c r="AB210" t="s">
        <v>44</v>
      </c>
      <c r="AC210" t="s">
        <v>66</v>
      </c>
      <c r="AD210" s="21">
        <v>43710</v>
      </c>
      <c r="AE210" t="s">
        <v>44</v>
      </c>
      <c r="AF210" t="s">
        <v>44</v>
      </c>
      <c r="AG210" t="s">
        <v>44</v>
      </c>
      <c r="AH210" s="21">
        <v>43710</v>
      </c>
      <c r="AK210" t="s">
        <v>248</v>
      </c>
      <c r="AL210" t="s">
        <v>1340</v>
      </c>
    </row>
    <row r="211" spans="1:38" x14ac:dyDescent="0.3">
      <c r="A211" t="s">
        <v>1341</v>
      </c>
      <c r="B211" t="s">
        <v>45</v>
      </c>
      <c r="C211" t="s">
        <v>43</v>
      </c>
      <c r="D211" t="s">
        <v>1342</v>
      </c>
      <c r="E211" t="s">
        <v>44</v>
      </c>
      <c r="F211" t="s">
        <v>44</v>
      </c>
      <c r="G211" t="s">
        <v>44</v>
      </c>
      <c r="H211" s="1" t="s">
        <v>44</v>
      </c>
      <c r="I211" t="s">
        <v>44</v>
      </c>
      <c r="J211" s="11" t="s">
        <v>82</v>
      </c>
      <c r="K211" t="s">
        <v>44</v>
      </c>
      <c r="L211" t="s">
        <v>44</v>
      </c>
      <c r="M211" t="s">
        <v>44</v>
      </c>
      <c r="N211" t="s">
        <v>44</v>
      </c>
      <c r="P211" t="s">
        <v>1343</v>
      </c>
      <c r="Q211" t="s">
        <v>44</v>
      </c>
      <c r="R211" s="6" t="s">
        <v>44</v>
      </c>
      <c r="T211" s="16" t="s">
        <v>44</v>
      </c>
      <c r="U211" t="s">
        <v>44</v>
      </c>
      <c r="V211" t="s">
        <v>44</v>
      </c>
      <c r="W211" s="16" t="s">
        <v>1344</v>
      </c>
      <c r="Y211" s="21">
        <v>43710</v>
      </c>
      <c r="Z211" s="22">
        <v>0.64103009259259258</v>
      </c>
      <c r="AA211" t="s">
        <v>44</v>
      </c>
      <c r="AB211" t="s">
        <v>44</v>
      </c>
      <c r="AC211" t="s">
        <v>66</v>
      </c>
      <c r="AD211" t="s">
        <v>1345</v>
      </c>
      <c r="AE211" t="s">
        <v>44</v>
      </c>
      <c r="AF211" t="s">
        <v>44</v>
      </c>
      <c r="AG211" t="s">
        <v>44</v>
      </c>
      <c r="AH211" s="21">
        <v>43711</v>
      </c>
      <c r="AK211" t="s">
        <v>248</v>
      </c>
    </row>
    <row r="212" spans="1:38" x14ac:dyDescent="0.3">
      <c r="A212" t="s">
        <v>1346</v>
      </c>
      <c r="B212" t="s">
        <v>45</v>
      </c>
      <c r="C212" t="s">
        <v>43</v>
      </c>
      <c r="D212" t="s">
        <v>1347</v>
      </c>
      <c r="E212" t="s">
        <v>1348</v>
      </c>
      <c r="F212" t="s">
        <v>44</v>
      </c>
      <c r="G212" t="s">
        <v>44</v>
      </c>
      <c r="H212" s="1" t="s">
        <v>44</v>
      </c>
      <c r="I212" t="s">
        <v>44</v>
      </c>
      <c r="J212" s="11" t="s">
        <v>82</v>
      </c>
      <c r="K212" t="s">
        <v>44</v>
      </c>
      <c r="L212" t="s">
        <v>44</v>
      </c>
      <c r="M212" t="s">
        <v>44</v>
      </c>
      <c r="N212" t="s">
        <v>44</v>
      </c>
      <c r="P212" t="s">
        <v>1349</v>
      </c>
      <c r="Q212" t="s">
        <v>44</v>
      </c>
      <c r="R212" s="6" t="s">
        <v>1350</v>
      </c>
      <c r="T212" s="16" t="s">
        <v>44</v>
      </c>
      <c r="U212" t="s">
        <v>44</v>
      </c>
      <c r="V212" t="s">
        <v>44</v>
      </c>
      <c r="W212" s="16" t="s">
        <v>1351</v>
      </c>
      <c r="Y212" s="21">
        <v>43710</v>
      </c>
      <c r="Z212" s="22">
        <v>0.65656250000000005</v>
      </c>
      <c r="AA212" t="s">
        <v>44</v>
      </c>
      <c r="AB212" t="s">
        <v>44</v>
      </c>
      <c r="AC212" t="s">
        <v>66</v>
      </c>
      <c r="AD212" t="s">
        <v>1345</v>
      </c>
      <c r="AE212" t="s">
        <v>44</v>
      </c>
      <c r="AF212" t="s">
        <v>44</v>
      </c>
      <c r="AG212" t="s">
        <v>44</v>
      </c>
      <c r="AH212" s="21">
        <v>43711</v>
      </c>
      <c r="AK212" t="s">
        <v>248</v>
      </c>
    </row>
    <row r="213" spans="1:38" x14ac:dyDescent="0.3">
      <c r="A213" t="s">
        <v>1352</v>
      </c>
      <c r="B213" t="s">
        <v>45</v>
      </c>
      <c r="C213" t="s">
        <v>43</v>
      </c>
      <c r="D213" t="s">
        <v>1353</v>
      </c>
      <c r="E213" t="s">
        <v>235</v>
      </c>
      <c r="G213" t="s">
        <v>44</v>
      </c>
      <c r="H213" s="1" t="s">
        <v>44</v>
      </c>
      <c r="I213" t="s">
        <v>44</v>
      </c>
      <c r="J213" s="11" t="s">
        <v>82</v>
      </c>
      <c r="L213" t="s">
        <v>44</v>
      </c>
      <c r="M213" t="s">
        <v>44</v>
      </c>
      <c r="P213" t="s">
        <v>1354</v>
      </c>
      <c r="Q213" t="s">
        <v>44</v>
      </c>
      <c r="R213" s="6" t="s">
        <v>44</v>
      </c>
      <c r="T213" s="16" t="s">
        <v>44</v>
      </c>
      <c r="U213" t="s">
        <v>44</v>
      </c>
      <c r="V213" t="s">
        <v>44</v>
      </c>
      <c r="W213" s="16" t="s">
        <v>1355</v>
      </c>
      <c r="Y213" s="21">
        <v>43710</v>
      </c>
      <c r="Z213" s="22">
        <v>0.70324074074074072</v>
      </c>
      <c r="AB213" t="s">
        <v>44</v>
      </c>
      <c r="AC213" t="s">
        <v>66</v>
      </c>
      <c r="AD213" s="21">
        <v>43711</v>
      </c>
      <c r="AE213" t="s">
        <v>44</v>
      </c>
      <c r="AF213" t="s">
        <v>44</v>
      </c>
      <c r="AG213" t="s">
        <v>44</v>
      </c>
      <c r="AH213" s="21">
        <v>43711</v>
      </c>
      <c r="AK213" t="s">
        <v>248</v>
      </c>
      <c r="AL213" t="s">
        <v>1356</v>
      </c>
    </row>
    <row r="214" spans="1:38" x14ac:dyDescent="0.3">
      <c r="A214" t="s">
        <v>1357</v>
      </c>
      <c r="B214" t="s">
        <v>45</v>
      </c>
      <c r="C214" t="s">
        <v>43</v>
      </c>
      <c r="D214" t="s">
        <v>1358</v>
      </c>
      <c r="E214" t="s">
        <v>654</v>
      </c>
      <c r="F214" t="s">
        <v>44</v>
      </c>
      <c r="G214" t="s">
        <v>44</v>
      </c>
      <c r="H214" s="1" t="s">
        <v>44</v>
      </c>
      <c r="I214" t="s">
        <v>44</v>
      </c>
      <c r="J214" s="11" t="s">
        <v>82</v>
      </c>
      <c r="K214" t="s">
        <v>44</v>
      </c>
      <c r="L214" t="s">
        <v>44</v>
      </c>
      <c r="M214" t="s">
        <v>44</v>
      </c>
      <c r="N214" t="s">
        <v>44</v>
      </c>
      <c r="P214" t="s">
        <v>1359</v>
      </c>
      <c r="Q214" t="s">
        <v>44</v>
      </c>
      <c r="R214" s="6" t="s">
        <v>44</v>
      </c>
      <c r="T214" s="16" t="s">
        <v>44</v>
      </c>
      <c r="U214" t="s">
        <v>44</v>
      </c>
      <c r="V214" t="s">
        <v>44</v>
      </c>
      <c r="W214" s="16" t="s">
        <v>1360</v>
      </c>
      <c r="Y214" s="21">
        <v>43711</v>
      </c>
      <c r="Z214" s="22">
        <v>0.71292824074074079</v>
      </c>
      <c r="AA214" t="s">
        <v>44</v>
      </c>
      <c r="AB214" t="s">
        <v>44</v>
      </c>
      <c r="AC214" t="s">
        <v>66</v>
      </c>
      <c r="AD214" t="s">
        <v>1361</v>
      </c>
      <c r="AE214" t="s">
        <v>44</v>
      </c>
      <c r="AF214" t="s">
        <v>44</v>
      </c>
      <c r="AG214" t="s">
        <v>44</v>
      </c>
      <c r="AH214" s="21">
        <v>43712</v>
      </c>
      <c r="AK214" t="s">
        <v>248</v>
      </c>
    </row>
    <row r="215" spans="1:38" x14ac:dyDescent="0.3">
      <c r="A215" t="s">
        <v>1362</v>
      </c>
      <c r="B215" t="s">
        <v>45</v>
      </c>
      <c r="C215" t="s">
        <v>43</v>
      </c>
      <c r="D215" t="s">
        <v>1363</v>
      </c>
      <c r="E215" t="s">
        <v>1364</v>
      </c>
      <c r="F215" t="s">
        <v>44</v>
      </c>
      <c r="G215" t="s">
        <v>44</v>
      </c>
      <c r="H215" s="1" t="s">
        <v>44</v>
      </c>
      <c r="I215" t="s">
        <v>44</v>
      </c>
      <c r="J215" s="11" t="s">
        <v>82</v>
      </c>
      <c r="K215" t="s">
        <v>44</v>
      </c>
      <c r="L215" t="s">
        <v>44</v>
      </c>
      <c r="M215" t="s">
        <v>44</v>
      </c>
      <c r="N215" t="s">
        <v>44</v>
      </c>
      <c r="P215" t="s">
        <v>1365</v>
      </c>
      <c r="Q215" t="s">
        <v>44</v>
      </c>
      <c r="R215" s="6" t="s">
        <v>1366</v>
      </c>
      <c r="T215" s="16" t="s">
        <v>44</v>
      </c>
      <c r="U215" t="s">
        <v>44</v>
      </c>
      <c r="V215" t="s">
        <v>44</v>
      </c>
      <c r="W215" s="16" t="s">
        <v>1367</v>
      </c>
      <c r="Y215" s="21">
        <v>43712</v>
      </c>
      <c r="Z215" s="22">
        <v>0.67450231481481471</v>
      </c>
      <c r="AA215" t="s">
        <v>44</v>
      </c>
      <c r="AB215" t="s">
        <v>44</v>
      </c>
      <c r="AC215" t="s">
        <v>66</v>
      </c>
      <c r="AD215" t="s">
        <v>1368</v>
      </c>
      <c r="AE215" t="s">
        <v>44</v>
      </c>
      <c r="AF215" t="s">
        <v>44</v>
      </c>
      <c r="AG215" t="s">
        <v>44</v>
      </c>
      <c r="AH215" s="21">
        <v>43717</v>
      </c>
      <c r="AK215" t="s">
        <v>248</v>
      </c>
    </row>
    <row r="216" spans="1:38" x14ac:dyDescent="0.3">
      <c r="A216" t="s">
        <v>1372</v>
      </c>
      <c r="B216" t="s">
        <v>45</v>
      </c>
      <c r="C216" t="s">
        <v>43</v>
      </c>
      <c r="D216" t="s">
        <v>1369</v>
      </c>
      <c r="E216" t="s">
        <v>1293</v>
      </c>
      <c r="G216" t="s">
        <v>44</v>
      </c>
      <c r="H216" s="1" t="s">
        <v>44</v>
      </c>
      <c r="I216" t="s">
        <v>44</v>
      </c>
      <c r="J216" s="11" t="s">
        <v>82</v>
      </c>
      <c r="L216" t="s">
        <v>44</v>
      </c>
      <c r="M216" t="s">
        <v>44</v>
      </c>
      <c r="P216" t="s">
        <v>1370</v>
      </c>
      <c r="Q216" t="s">
        <v>44</v>
      </c>
      <c r="R216" s="6" t="s">
        <v>1371</v>
      </c>
      <c r="T216" s="16" t="s">
        <v>44</v>
      </c>
      <c r="U216" t="s">
        <v>44</v>
      </c>
      <c r="V216" t="s">
        <v>44</v>
      </c>
      <c r="W216" s="16" t="s">
        <v>1373</v>
      </c>
      <c r="Y216" s="21">
        <v>43713</v>
      </c>
      <c r="Z216" s="22">
        <v>0.40269675925925924</v>
      </c>
      <c r="AB216" t="s">
        <v>44</v>
      </c>
      <c r="AC216" t="s">
        <v>66</v>
      </c>
      <c r="AD216" s="21">
        <v>43719</v>
      </c>
      <c r="AE216" t="s">
        <v>44</v>
      </c>
      <c r="AF216" t="s">
        <v>44</v>
      </c>
      <c r="AG216" t="s">
        <v>44</v>
      </c>
      <c r="AH216" s="21">
        <v>43724</v>
      </c>
      <c r="AK216" t="s">
        <v>248</v>
      </c>
      <c r="AL216" t="s">
        <v>1374</v>
      </c>
    </row>
    <row r="217" spans="1:38" x14ac:dyDescent="0.3">
      <c r="A217" t="s">
        <v>1375</v>
      </c>
      <c r="B217" t="s">
        <v>45</v>
      </c>
      <c r="C217" t="s">
        <v>43</v>
      </c>
      <c r="D217" t="s">
        <v>1376</v>
      </c>
      <c r="E217" t="s">
        <v>44</v>
      </c>
      <c r="F217" t="s">
        <v>44</v>
      </c>
      <c r="G217" t="s">
        <v>44</v>
      </c>
      <c r="H217" s="1" t="s">
        <v>44</v>
      </c>
      <c r="I217" t="s">
        <v>44</v>
      </c>
      <c r="J217" s="11" t="s">
        <v>82</v>
      </c>
      <c r="K217" t="s">
        <v>44</v>
      </c>
      <c r="L217" t="s">
        <v>44</v>
      </c>
      <c r="M217" t="s">
        <v>44</v>
      </c>
      <c r="N217" t="s">
        <v>44</v>
      </c>
      <c r="P217" t="s">
        <v>1377</v>
      </c>
      <c r="Q217" t="s">
        <v>44</v>
      </c>
      <c r="R217" s="6" t="s">
        <v>44</v>
      </c>
      <c r="T217" s="16" t="s">
        <v>44</v>
      </c>
      <c r="U217" t="s">
        <v>44</v>
      </c>
      <c r="V217" t="s">
        <v>44</v>
      </c>
      <c r="W217" s="16" t="s">
        <v>1378</v>
      </c>
      <c r="Y217" s="21">
        <v>43719</v>
      </c>
      <c r="Z217" s="22">
        <v>0.6548842592592593</v>
      </c>
      <c r="AA217" t="s">
        <v>44</v>
      </c>
      <c r="AB217" t="s">
        <v>44</v>
      </c>
      <c r="AC217" t="s">
        <v>66</v>
      </c>
      <c r="AD217" t="s">
        <v>1379</v>
      </c>
      <c r="AE217" t="s">
        <v>44</v>
      </c>
      <c r="AF217" t="s">
        <v>44</v>
      </c>
      <c r="AG217" t="s">
        <v>44</v>
      </c>
      <c r="AH217" s="21">
        <v>43720</v>
      </c>
      <c r="AK217" t="s">
        <v>248</v>
      </c>
    </row>
    <row r="218" spans="1:38" x14ac:dyDescent="0.3">
      <c r="A218" t="s">
        <v>1380</v>
      </c>
      <c r="B218" t="s">
        <v>45</v>
      </c>
      <c r="C218" t="s">
        <v>43</v>
      </c>
      <c r="D218" t="s">
        <v>1381</v>
      </c>
      <c r="E218" t="s">
        <v>1382</v>
      </c>
      <c r="F218" t="s">
        <v>44</v>
      </c>
      <c r="G218" t="s">
        <v>44</v>
      </c>
      <c r="H218" s="1" t="s">
        <v>44</v>
      </c>
      <c r="I218" t="s">
        <v>44</v>
      </c>
      <c r="J218" s="11" t="s">
        <v>82</v>
      </c>
      <c r="K218" t="s">
        <v>44</v>
      </c>
      <c r="L218" t="s">
        <v>44</v>
      </c>
      <c r="M218" t="s">
        <v>44</v>
      </c>
      <c r="N218" t="s">
        <v>44</v>
      </c>
      <c r="P218" t="s">
        <v>1383</v>
      </c>
      <c r="Q218" t="s">
        <v>44</v>
      </c>
      <c r="R218" s="6" t="s">
        <v>1384</v>
      </c>
      <c r="T218" s="16" t="s">
        <v>44</v>
      </c>
      <c r="U218" t="s">
        <v>44</v>
      </c>
      <c r="V218" t="s">
        <v>44</v>
      </c>
      <c r="W218" s="16" t="s">
        <v>1385</v>
      </c>
      <c r="Y218" s="21">
        <v>43720</v>
      </c>
      <c r="Z218" s="22">
        <v>0.43076388888888889</v>
      </c>
      <c r="AA218" t="s">
        <v>44</v>
      </c>
      <c r="AB218" t="s">
        <v>44</v>
      </c>
      <c r="AC218" t="s">
        <v>54</v>
      </c>
      <c r="AD218" t="s">
        <v>1386</v>
      </c>
      <c r="AE218" t="s">
        <v>44</v>
      </c>
      <c r="AF218" t="s">
        <v>44</v>
      </c>
      <c r="AG218" t="s">
        <v>44</v>
      </c>
      <c r="AH218" s="21">
        <v>43724</v>
      </c>
      <c r="AK218" t="s">
        <v>248</v>
      </c>
    </row>
    <row r="219" spans="1:38" x14ac:dyDescent="0.3">
      <c r="A219" t="s">
        <v>1387</v>
      </c>
      <c r="B219" t="s">
        <v>45</v>
      </c>
      <c r="C219" t="s">
        <v>43</v>
      </c>
      <c r="D219" t="s">
        <v>1388</v>
      </c>
      <c r="E219" t="s">
        <v>353</v>
      </c>
      <c r="G219" t="s">
        <v>44</v>
      </c>
      <c r="H219" s="1" t="s">
        <v>44</v>
      </c>
      <c r="I219" t="s">
        <v>44</v>
      </c>
      <c r="J219" s="11" t="s">
        <v>82</v>
      </c>
      <c r="L219" t="s">
        <v>44</v>
      </c>
      <c r="M219" t="s">
        <v>44</v>
      </c>
      <c r="P219" t="s">
        <v>1389</v>
      </c>
      <c r="Q219" t="s">
        <v>44</v>
      </c>
      <c r="R219" s="6" t="s">
        <v>1390</v>
      </c>
      <c r="T219" s="16" t="s">
        <v>44</v>
      </c>
      <c r="U219" t="s">
        <v>44</v>
      </c>
      <c r="V219" t="s">
        <v>44</v>
      </c>
      <c r="W219" s="16" t="s">
        <v>1391</v>
      </c>
      <c r="Y219" s="21">
        <v>43724</v>
      </c>
      <c r="Z219" s="22">
        <v>0.6031481481481481</v>
      </c>
      <c r="AB219" t="s">
        <v>44</v>
      </c>
      <c r="AC219" t="s">
        <v>66</v>
      </c>
      <c r="AD219" s="21">
        <v>43733</v>
      </c>
      <c r="AE219" t="s">
        <v>44</v>
      </c>
      <c r="AF219" t="s">
        <v>44</v>
      </c>
      <c r="AG219" t="s">
        <v>44</v>
      </c>
      <c r="AH219" s="21">
        <v>43731</v>
      </c>
      <c r="AK219" t="s">
        <v>263</v>
      </c>
      <c r="AL219" t="s">
        <v>1404</v>
      </c>
    </row>
    <row r="220" spans="1:38" x14ac:dyDescent="0.3">
      <c r="A220" t="s">
        <v>1392</v>
      </c>
      <c r="B220" t="s">
        <v>45</v>
      </c>
      <c r="C220" t="s">
        <v>43</v>
      </c>
      <c r="D220" t="s">
        <v>1397</v>
      </c>
      <c r="E220" t="s">
        <v>1393</v>
      </c>
      <c r="G220" t="s">
        <v>44</v>
      </c>
      <c r="H220" s="1" t="s">
        <v>44</v>
      </c>
      <c r="I220" t="s">
        <v>44</v>
      </c>
      <c r="J220" s="11" t="s">
        <v>82</v>
      </c>
      <c r="L220" t="s">
        <v>44</v>
      </c>
      <c r="M220" t="s">
        <v>44</v>
      </c>
      <c r="P220" t="s">
        <v>1394</v>
      </c>
      <c r="Q220" t="s">
        <v>44</v>
      </c>
      <c r="R220" s="6" t="s">
        <v>1395</v>
      </c>
      <c r="T220" s="16" t="s">
        <v>44</v>
      </c>
      <c r="U220" t="s">
        <v>44</v>
      </c>
      <c r="V220" t="s">
        <v>44</v>
      </c>
      <c r="W220" s="16" t="s">
        <v>1396</v>
      </c>
      <c r="Y220" s="21">
        <v>43724</v>
      </c>
      <c r="Z220" s="22">
        <v>0.62222222222222223</v>
      </c>
      <c r="AB220" t="s">
        <v>44</v>
      </c>
      <c r="AC220" t="s">
        <v>54</v>
      </c>
      <c r="AD220" s="21">
        <v>43733</v>
      </c>
      <c r="AE220" t="s">
        <v>44</v>
      </c>
      <c r="AF220" t="s">
        <v>44</v>
      </c>
      <c r="AG220" t="s">
        <v>44</v>
      </c>
      <c r="AH220" s="21">
        <v>43726</v>
      </c>
      <c r="AK220" t="s">
        <v>263</v>
      </c>
      <c r="AL220" t="s">
        <v>1403</v>
      </c>
    </row>
    <row r="221" spans="1:38" x14ac:dyDescent="0.3">
      <c r="A221" t="s">
        <v>1423</v>
      </c>
      <c r="B221" t="s">
        <v>42</v>
      </c>
      <c r="C221" t="s">
        <v>43</v>
      </c>
      <c r="D221" t="s">
        <v>1424</v>
      </c>
      <c r="E221" t="s">
        <v>114</v>
      </c>
      <c r="F221" t="s">
        <v>46</v>
      </c>
      <c r="G221" t="s">
        <v>1425</v>
      </c>
      <c r="H221" s="1" t="s">
        <v>44</v>
      </c>
      <c r="I221" t="s">
        <v>44</v>
      </c>
      <c r="J221" s="11" t="s">
        <v>82</v>
      </c>
      <c r="K221" t="s">
        <v>134</v>
      </c>
      <c r="L221" t="s">
        <v>44</v>
      </c>
      <c r="M221" t="s">
        <v>44</v>
      </c>
      <c r="N221" t="s">
        <v>44</v>
      </c>
      <c r="P221" t="s">
        <v>1426</v>
      </c>
      <c r="Q221" t="s">
        <v>44</v>
      </c>
      <c r="R221" s="6" t="s">
        <v>1427</v>
      </c>
      <c r="T221" s="16" t="s">
        <v>44</v>
      </c>
      <c r="U221" t="s">
        <v>44</v>
      </c>
      <c r="V221" t="s">
        <v>44</v>
      </c>
      <c r="W221" s="16" t="s">
        <v>1428</v>
      </c>
      <c r="Y221" s="21">
        <v>43735</v>
      </c>
      <c r="Z221" s="22">
        <v>0.66245370370370371</v>
      </c>
      <c r="AA221" t="s">
        <v>6</v>
      </c>
      <c r="AB221" t="s">
        <v>95</v>
      </c>
      <c r="AC221" t="s">
        <v>54</v>
      </c>
      <c r="AD221" t="s">
        <v>1429</v>
      </c>
      <c r="AE221" t="s">
        <v>44</v>
      </c>
      <c r="AF221" t="s">
        <v>44</v>
      </c>
      <c r="AG221" t="s">
        <v>44</v>
      </c>
      <c r="AH221" s="21">
        <v>43738</v>
      </c>
      <c r="AK221" t="s">
        <v>248</v>
      </c>
    </row>
  </sheetData>
  <autoFilter ref="A1:AM97" xr:uid="{934040F7-6DE9-4C65-AA36-6692B42A10B1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09B63-FBA1-4251-B02C-213DD3392ACE}">
  <sheetPr codeName="Planilha3"/>
  <dimension ref="A1:G7"/>
  <sheetViews>
    <sheetView workbookViewId="0">
      <selection activeCell="B30" sqref="B30"/>
    </sheetView>
  </sheetViews>
  <sheetFormatPr defaultColWidth="8.6640625" defaultRowHeight="14.4" x14ac:dyDescent="0.3"/>
  <cols>
    <col min="1" max="1" width="18.44140625" style="10" bestFit="1" customWidth="1"/>
    <col min="2" max="2" width="29" style="3" bestFit="1" customWidth="1"/>
    <col min="3" max="3" width="43.33203125" style="3" bestFit="1" customWidth="1"/>
    <col min="4" max="4" width="32.44140625" style="3" customWidth="1"/>
    <col min="5" max="5" width="47.109375" style="3" bestFit="1" customWidth="1"/>
    <col min="6" max="6" width="37.44140625" bestFit="1" customWidth="1"/>
  </cols>
  <sheetData>
    <row r="1" spans="1:7" s="6" customFormat="1" x14ac:dyDescent="0.3">
      <c r="A1" s="8">
        <v>47482096000135</v>
      </c>
      <c r="B1" s="2" t="s">
        <v>35</v>
      </c>
      <c r="C1" s="3" t="str">
        <f t="shared" ref="C1:C7" si="0">B1&amp;A1</f>
        <v>http://receitaws.com.br/v1/cnpj/47482096000135</v>
      </c>
      <c r="D1" s="5" t="e">
        <f t="shared" ref="D1:D7" si="1">_xlfn.WEBSERVICE(C1)</f>
        <v>#VALUE!</v>
      </c>
      <c r="E1" s="4" t="e">
        <f t="shared" ref="E1:E7" si="2">MID(D1,SEARCH(CHAR(34)&amp;"text"&amp;CHAR(34),D1,1)+9,SEARCH(CHAR(34)&amp;"code"&amp;CHAR(34),D1,1)-SEARCH(CHAR(34)&amp;"text"&amp;CHAR(34),D1,1)-18)</f>
        <v>#VALUE!</v>
      </c>
      <c r="F1" s="4"/>
      <c r="G1" s="4"/>
    </row>
    <row r="2" spans="1:7" s="6" customFormat="1" x14ac:dyDescent="0.3">
      <c r="A2" s="9">
        <v>49337108000163</v>
      </c>
      <c r="B2" s="2" t="s">
        <v>35</v>
      </c>
      <c r="C2" s="3" t="str">
        <f t="shared" si="0"/>
        <v>http://receitaws.com.br/v1/cnpj/49337108000163</v>
      </c>
      <c r="D2" s="5" t="e">
        <f t="shared" si="1"/>
        <v>#VALUE!</v>
      </c>
      <c r="E2" s="4" t="e">
        <f t="shared" si="2"/>
        <v>#VALUE!</v>
      </c>
    </row>
    <row r="3" spans="1:7" x14ac:dyDescent="0.3">
      <c r="A3" s="7" t="s">
        <v>36</v>
      </c>
      <c r="B3" s="2" t="s">
        <v>35</v>
      </c>
      <c r="C3" s="3" t="str">
        <f t="shared" si="0"/>
        <v>http://receitaws.com.br/v1/cnpj/09113666000120</v>
      </c>
      <c r="D3" s="5" t="e">
        <f t="shared" si="1"/>
        <v>#VALUE!</v>
      </c>
      <c r="E3" s="4" t="e">
        <f t="shared" si="2"/>
        <v>#VALUE!</v>
      </c>
    </row>
    <row r="4" spans="1:7" ht="15.6" x14ac:dyDescent="0.3">
      <c r="A4" s="12">
        <v>89175541000164</v>
      </c>
      <c r="B4" s="2" t="s">
        <v>35</v>
      </c>
      <c r="C4" s="3" t="str">
        <f t="shared" si="0"/>
        <v>http://receitaws.com.br/v1/cnpj/89175541000164</v>
      </c>
      <c r="D4" s="5" t="e">
        <f t="shared" si="1"/>
        <v>#VALUE!</v>
      </c>
      <c r="E4" s="4" t="e">
        <f t="shared" si="2"/>
        <v>#VALUE!</v>
      </c>
    </row>
    <row r="5" spans="1:7" x14ac:dyDescent="0.3">
      <c r="A5" s="9">
        <v>17398249000108</v>
      </c>
      <c r="B5" s="2" t="s">
        <v>35</v>
      </c>
      <c r="C5" s="3" t="str">
        <f t="shared" si="0"/>
        <v>http://receitaws.com.br/v1/cnpj/17398249000108</v>
      </c>
      <c r="D5" s="5" t="e">
        <f t="shared" si="1"/>
        <v>#VALUE!</v>
      </c>
      <c r="E5" s="4" t="e">
        <f t="shared" si="2"/>
        <v>#VALUE!</v>
      </c>
    </row>
    <row r="6" spans="1:7" x14ac:dyDescent="0.3">
      <c r="A6" s="9"/>
      <c r="B6" s="2" t="s">
        <v>35</v>
      </c>
      <c r="C6" s="3" t="str">
        <f t="shared" si="0"/>
        <v>http://receitaws.com.br/v1/cnpj/</v>
      </c>
      <c r="D6" s="5" t="e">
        <f t="shared" si="1"/>
        <v>#VALUE!</v>
      </c>
      <c r="E6" s="4" t="e">
        <f t="shared" si="2"/>
        <v>#VALUE!</v>
      </c>
    </row>
    <row r="7" spans="1:7" x14ac:dyDescent="0.3">
      <c r="B7" s="2" t="s">
        <v>35</v>
      </c>
      <c r="C7" s="3" t="str">
        <f t="shared" si="0"/>
        <v>http://receitaws.com.br/v1/cnpj/</v>
      </c>
      <c r="D7" s="5" t="e">
        <f t="shared" si="1"/>
        <v>#VALUE!</v>
      </c>
      <c r="E7" s="4" t="e">
        <f t="shared" si="2"/>
        <v>#VALUE!</v>
      </c>
    </row>
  </sheetData>
  <hyperlinks>
    <hyperlink ref="B1" r:id="rId1" xr:uid="{75A05AA3-58C4-45C5-8142-16C05EA043C9}"/>
    <hyperlink ref="B2" r:id="rId2" xr:uid="{4B400452-CBF8-4536-8C64-A68CFE73530D}"/>
    <hyperlink ref="B3" r:id="rId3" xr:uid="{8EABA84C-4827-48F1-90F6-6A524C0F6807}"/>
    <hyperlink ref="B4" r:id="rId4" xr:uid="{063E8941-C05F-45C2-965A-B3CB85A791F5}"/>
    <hyperlink ref="B5" r:id="rId5" xr:uid="{30253D88-D82A-448B-A207-14454F55D5EE}"/>
    <hyperlink ref="B6" r:id="rId6" xr:uid="{3808AC50-BD08-40FC-B7A0-B718D00A7B79}"/>
    <hyperlink ref="B7" r:id="rId7" xr:uid="{1D189C35-B8B6-42F5-B632-9FDB58311817}"/>
  </hyperlinks>
  <pageMargins left="0.511811024" right="0.511811024" top="0.78740157499999996" bottom="0.78740157499999996" header="0.31496062000000002" footer="0.31496062000000002"/>
  <pageSetup paperSize="9" orientation="portrait" r:id="rId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Usuarios e Senhas</vt:lpstr>
      <vt:lpstr>BANCODEDADOS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Samsung</dc:creator>
  <cp:lastModifiedBy>Samsung</cp:lastModifiedBy>
  <dcterms:created xsi:type="dcterms:W3CDTF">2019-05-16T02:23:58Z</dcterms:created>
  <dcterms:modified xsi:type="dcterms:W3CDTF">2019-09-27T19:42:36Z</dcterms:modified>
</cp:coreProperties>
</file>